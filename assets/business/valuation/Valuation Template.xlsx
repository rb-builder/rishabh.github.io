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shabh/Downloads/"/>
    </mc:Choice>
  </mc:AlternateContent>
  <xr:revisionPtr revIDLastSave="0" documentId="13_ncr:1_{079ECE48-75E2-B845-A929-EA412952CF80}" xr6:coauthVersionLast="47" xr6:coauthVersionMax="47" xr10:uidLastSave="{00000000-0000-0000-0000-000000000000}"/>
  <bookViews>
    <workbookView xWindow="21700" yWindow="-23560" windowWidth="30240" windowHeight="17000" xr2:uid="{CD73A073-6F59-C94D-8268-42A325A7E6A8}"/>
  </bookViews>
  <sheets>
    <sheet name="BRK" sheetId="1" r:id="rId1"/>
    <sheet name="DCF Template" sheetId="2" r:id="rId2"/>
    <sheet name="Invert" sheetId="3" r:id="rId3"/>
  </sheets>
  <calcPr calcId="181029" iterate="1" iterateDelta="9.999999999999445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1" l="1"/>
  <c r="C50" i="1" s="1"/>
  <c r="C55" i="1" s="1"/>
  <c r="B6" i="3"/>
  <c r="B14" i="3" l="1"/>
  <c r="B19" i="3" s="1"/>
  <c r="D8" i="2" l="1"/>
  <c r="D27" i="2"/>
  <c r="O20" i="2"/>
  <c r="C20" i="2" s="1"/>
  <c r="N18" i="2"/>
  <c r="D18" i="2"/>
  <c r="E18" i="2" s="1"/>
  <c r="F18" i="2" s="1"/>
  <c r="G18" i="2" s="1"/>
  <c r="H18" i="2" s="1"/>
  <c r="I18" i="2" s="1"/>
  <c r="J18" i="2" s="1"/>
  <c r="K18" i="2" s="1"/>
  <c r="L18" i="2" s="1"/>
  <c r="M18" i="2" s="1"/>
  <c r="C18" i="2"/>
  <c r="O14" i="2"/>
  <c r="C14" i="2"/>
  <c r="C13" i="2"/>
  <c r="D13" i="2" s="1"/>
  <c r="N12" i="2"/>
  <c r="D12" i="2"/>
  <c r="E12" i="2" s="1"/>
  <c r="F12" i="2" s="1"/>
  <c r="G12" i="2" s="1"/>
  <c r="H12" i="2" s="1"/>
  <c r="I12" i="2" s="1"/>
  <c r="J12" i="2" s="1"/>
  <c r="K12" i="2" s="1"/>
  <c r="L12" i="2" s="1"/>
  <c r="M12" i="2" s="1"/>
  <c r="C12" i="2"/>
  <c r="C8" i="2"/>
  <c r="D7" i="2"/>
  <c r="E7" i="2" s="1"/>
  <c r="F6" i="2"/>
  <c r="G6" i="2" s="1"/>
  <c r="H6" i="2" s="1"/>
  <c r="I6" i="2" s="1"/>
  <c r="J6" i="2" s="1"/>
  <c r="K6" i="2" s="1"/>
  <c r="L6" i="2" s="1"/>
  <c r="M6" i="2" s="1"/>
  <c r="E6" i="2"/>
  <c r="D27" i="1"/>
  <c r="O14" i="1"/>
  <c r="O20" i="1" s="1"/>
  <c r="C20" i="1" s="1"/>
  <c r="C14" i="1"/>
  <c r="C13" i="1"/>
  <c r="N12" i="1"/>
  <c r="N18" i="1" s="1"/>
  <c r="D12" i="1"/>
  <c r="E12" i="1" s="1"/>
  <c r="F12" i="1" s="1"/>
  <c r="G12" i="1" s="1"/>
  <c r="H12" i="1" s="1"/>
  <c r="I12" i="1" s="1"/>
  <c r="J12" i="1" s="1"/>
  <c r="K12" i="1" s="1"/>
  <c r="L12" i="1" s="1"/>
  <c r="M12" i="1" s="1"/>
  <c r="C12" i="1"/>
  <c r="C18" i="1" s="1"/>
  <c r="C8" i="1"/>
  <c r="D7" i="1"/>
  <c r="D8" i="1" s="1"/>
  <c r="E6" i="1"/>
  <c r="F6" i="1" s="1"/>
  <c r="G6" i="1" s="1"/>
  <c r="H6" i="1" s="1"/>
  <c r="I6" i="1" s="1"/>
  <c r="J6" i="1" s="1"/>
  <c r="K6" i="1" s="1"/>
  <c r="L6" i="1" s="1"/>
  <c r="M6" i="1" s="1"/>
  <c r="D13" i="1" l="1"/>
  <c r="E13" i="1" s="1"/>
  <c r="C19" i="2"/>
  <c r="D19" i="2" s="1"/>
  <c r="D14" i="2"/>
  <c r="E13" i="2"/>
  <c r="E8" i="2"/>
  <c r="F7" i="2"/>
  <c r="D20" i="2"/>
  <c r="E19" i="2"/>
  <c r="D18" i="1"/>
  <c r="E18" i="1" s="1"/>
  <c r="F18" i="1" s="1"/>
  <c r="G18" i="1" s="1"/>
  <c r="H18" i="1" s="1"/>
  <c r="I18" i="1" s="1"/>
  <c r="J18" i="1" s="1"/>
  <c r="K18" i="1" s="1"/>
  <c r="L18" i="1" s="1"/>
  <c r="M18" i="1" s="1"/>
  <c r="C19" i="1"/>
  <c r="D19" i="1" s="1"/>
  <c r="D20" i="1" s="1"/>
  <c r="D14" i="1"/>
  <c r="E7" i="1"/>
  <c r="F19" i="2" l="1"/>
  <c r="E20" i="2"/>
  <c r="F8" i="2"/>
  <c r="G7" i="2"/>
  <c r="F13" i="2"/>
  <c r="E14" i="2"/>
  <c r="E19" i="1"/>
  <c r="E20" i="1" s="1"/>
  <c r="F7" i="1"/>
  <c r="E8" i="1"/>
  <c r="F19" i="1"/>
  <c r="E14" i="1"/>
  <c r="F13" i="1"/>
  <c r="F20" i="2" l="1"/>
  <c r="G19" i="2"/>
  <c r="G8" i="2"/>
  <c r="H7" i="2"/>
  <c r="F14" i="2"/>
  <c r="G13" i="2"/>
  <c r="F14" i="1"/>
  <c r="G13" i="1"/>
  <c r="F20" i="1"/>
  <c r="G19" i="1"/>
  <c r="F8" i="1"/>
  <c r="G7" i="1"/>
  <c r="G14" i="2" l="1"/>
  <c r="H13" i="2"/>
  <c r="H8" i="2"/>
  <c r="I7" i="2"/>
  <c r="H19" i="2"/>
  <c r="G20" i="2"/>
  <c r="G8" i="1"/>
  <c r="H7" i="1"/>
  <c r="G20" i="1"/>
  <c r="H19" i="1"/>
  <c r="G14" i="1"/>
  <c r="H13" i="1"/>
  <c r="H20" i="2" l="1"/>
  <c r="I19" i="2"/>
  <c r="I8" i="2"/>
  <c r="J7" i="2"/>
  <c r="H14" i="2"/>
  <c r="I13" i="2"/>
  <c r="H8" i="1"/>
  <c r="I7" i="1"/>
  <c r="I13" i="1"/>
  <c r="H14" i="1"/>
  <c r="H20" i="1"/>
  <c r="I19" i="1"/>
  <c r="I20" i="2" l="1"/>
  <c r="J19" i="2"/>
  <c r="I14" i="2"/>
  <c r="J13" i="2"/>
  <c r="K7" i="2"/>
  <c r="J8" i="2"/>
  <c r="I14" i="1"/>
  <c r="J13" i="1"/>
  <c r="I20" i="1"/>
  <c r="J19" i="1"/>
  <c r="I8" i="1"/>
  <c r="J7" i="1"/>
  <c r="K8" i="2" l="1"/>
  <c r="L7" i="2"/>
  <c r="J14" i="2"/>
  <c r="K13" i="2"/>
  <c r="J20" i="2"/>
  <c r="K19" i="2"/>
  <c r="J20" i="1"/>
  <c r="K19" i="1"/>
  <c r="K7" i="1"/>
  <c r="J8" i="1"/>
  <c r="J14" i="1"/>
  <c r="K13" i="1"/>
  <c r="K20" i="2" l="1"/>
  <c r="L19" i="2"/>
  <c r="K14" i="2"/>
  <c r="L13" i="2"/>
  <c r="L8" i="2"/>
  <c r="N7" i="2"/>
  <c r="N8" i="2" s="1"/>
  <c r="M7" i="2"/>
  <c r="M8" i="2" s="1"/>
  <c r="L7" i="1"/>
  <c r="K8" i="1"/>
  <c r="K20" i="1"/>
  <c r="L19" i="1"/>
  <c r="K14" i="1"/>
  <c r="L13" i="1"/>
  <c r="L14" i="2" l="1"/>
  <c r="N13" i="2"/>
  <c r="N14" i="2" s="1"/>
  <c r="M13" i="2"/>
  <c r="M14" i="2" s="1"/>
  <c r="L20" i="2"/>
  <c r="N19" i="2"/>
  <c r="N20" i="2" s="1"/>
  <c r="M19" i="2"/>
  <c r="M20" i="2" s="1"/>
  <c r="D9" i="2"/>
  <c r="E24" i="2" s="1"/>
  <c r="F24" i="2" s="1"/>
  <c r="L20" i="1"/>
  <c r="N19" i="1"/>
  <c r="N20" i="1" s="1"/>
  <c r="M19" i="1"/>
  <c r="M20" i="1" s="1"/>
  <c r="L8" i="1"/>
  <c r="M7" i="1"/>
  <c r="M8" i="1" s="1"/>
  <c r="N7" i="1"/>
  <c r="N8" i="1" s="1"/>
  <c r="L14" i="1"/>
  <c r="N13" i="1"/>
  <c r="N14" i="1" s="1"/>
  <c r="M13" i="1"/>
  <c r="M14" i="1" s="1"/>
  <c r="D21" i="2" l="1"/>
  <c r="E26" i="2" s="1"/>
  <c r="F26" i="2" s="1"/>
  <c r="D15" i="2"/>
  <c r="E25" i="2" s="1"/>
  <c r="F25" i="2" s="1"/>
  <c r="F27" i="2" s="1"/>
  <c r="D9" i="1"/>
  <c r="E24" i="1" s="1"/>
  <c r="F24" i="1" s="1"/>
  <c r="D15" i="1"/>
  <c r="E25" i="1" s="1"/>
  <c r="F25" i="1" s="1"/>
  <c r="D21" i="1"/>
  <c r="E26" i="1" s="1"/>
  <c r="F26" i="1" s="1"/>
  <c r="F27" i="1" l="1"/>
</calcChain>
</file>

<file path=xl/sharedStrings.xml><?xml version="1.0" encoding="utf-8"?>
<sst xmlns="http://schemas.openxmlformats.org/spreadsheetml/2006/main" count="144" uniqueCount="61">
  <si>
    <t>Terminal 
Value</t>
  </si>
  <si>
    <t>Growth rate</t>
  </si>
  <si>
    <t>Scenario 1</t>
  </si>
  <si>
    <t>next 5 years</t>
  </si>
  <si>
    <t>normal case</t>
  </si>
  <si>
    <t>5 to 10 years</t>
  </si>
  <si>
    <t>Discount rate</t>
  </si>
  <si>
    <t>INTRINSIC VALUE</t>
  </si>
  <si>
    <t>Terminal multiple</t>
  </si>
  <si>
    <t>Scenario 2</t>
  </si>
  <si>
    <t>best case</t>
  </si>
  <si>
    <t>Present value sum</t>
  </si>
  <si>
    <t>Scenario 3</t>
  </si>
  <si>
    <t>worst case</t>
  </si>
  <si>
    <t xml:space="preserve">Scenario </t>
  </si>
  <si>
    <t>Probability</t>
  </si>
  <si>
    <t>PV</t>
  </si>
  <si>
    <t>Part</t>
  </si>
  <si>
    <t>Scenario 1 (normal case)</t>
  </si>
  <si>
    <t>Scenario 2 (best case)</t>
  </si>
  <si>
    <t>Scenario 3 (worst case)</t>
  </si>
  <si>
    <t>Sum</t>
  </si>
  <si>
    <t>**Disclaimer**: This is not a financial advice, and only for educational purpose.</t>
  </si>
  <si>
    <t>MARGIN OF SAFETY</t>
  </si>
  <si>
    <t>Business selling at</t>
  </si>
  <si>
    <t>Formula's Used</t>
  </si>
  <si>
    <r>
      <t xml:space="preserve"> </t>
    </r>
    <r>
      <rPr>
        <b/>
        <sz val="12"/>
        <color theme="1"/>
        <rFont val="Aptos Narrow"/>
        <scheme val="minor"/>
      </rPr>
      <t>PV</t>
    </r>
    <r>
      <rPr>
        <sz val="12"/>
        <color theme="1"/>
        <rFont val="Aptos Narrow"/>
        <family val="2"/>
        <scheme val="minor"/>
      </rPr>
      <t xml:space="preserve"> = FV / (1 + r)^n</t>
    </r>
  </si>
  <si>
    <t>Discounted present value of future cash</t>
  </si>
  <si>
    <t>Owner's Earning</t>
  </si>
  <si>
    <t>brk.b</t>
  </si>
  <si>
    <t>Stock Price</t>
  </si>
  <si>
    <t>Market cap (million)</t>
  </si>
  <si>
    <t>Business Ticker</t>
  </si>
  <si>
    <t>Dividend payout ratio</t>
  </si>
  <si>
    <t>Dividend  payout ratio</t>
  </si>
  <si>
    <t>EXUBERANCE</t>
  </si>
  <si>
    <t>Market cap (billions)</t>
  </si>
  <si>
    <t>Company Risk</t>
  </si>
  <si>
    <t>Cost of equity</t>
  </si>
  <si>
    <t>Market Cap to match (in millions) =</t>
  </si>
  <si>
    <t>D1. High risk</t>
  </si>
  <si>
    <t>D2. Above-average risk</t>
  </si>
  <si>
    <t>Generic inputs (for the typical US firm, in US dollars, but you can change them)</t>
  </si>
  <si>
    <t>D3. Average risk</t>
  </si>
  <si>
    <t>Riskiness of company =</t>
  </si>
  <si>
    <t>D4. Below-average risk</t>
  </si>
  <si>
    <t>Cost of equity =</t>
  </si>
  <si>
    <t>D5. Low risk</t>
  </si>
  <si>
    <t>Inflation rate =</t>
  </si>
  <si>
    <t>D6. Direct input</t>
  </si>
  <si>
    <t>Stable nominal growth rate (economy) =</t>
  </si>
  <si>
    <t>Your company's inputs</t>
  </si>
  <si>
    <t>Net margin =</t>
  </si>
  <si>
    <t>Return on equity =</t>
  </si>
  <si>
    <t>Breakeven Revenue if mature today =</t>
  </si>
  <si>
    <t>If you are still in growth mode and need to wait to get to maturity</t>
  </si>
  <si>
    <t>Number of years before maturity =</t>
  </si>
  <si>
    <t>Average cash yield during growth =</t>
  </si>
  <si>
    <t>Breakeven Revenue with wait =</t>
  </si>
  <si>
    <t>Data source: google.com</t>
  </si>
  <si>
    <t>Formula: NYU - Prof Aswath Damodran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</si>
</sst>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9" formatCode="&quot;$&quot;#,##0.00"/>
  </numFmts>
  <fonts count="12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Helvetica"/>
      <family val="2"/>
    </font>
    <font>
      <i/>
      <sz val="12"/>
      <color theme="1"/>
      <name val="Helvetica"/>
      <family val="2"/>
    </font>
    <font>
      <b/>
      <sz val="12"/>
      <color theme="1"/>
      <name val="Helvetica"/>
      <family val="2"/>
    </font>
    <font>
      <sz val="12"/>
      <color theme="0"/>
      <name val="Helvetica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84">
    <xf numFmtId="0" fontId="0" fillId="0" borderId="0" xfId="0"/>
    <xf numFmtId="0" fontId="4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2" fontId="0" fillId="2" borderId="0" xfId="0" applyNumberFormat="1" applyFill="1"/>
    <xf numFmtId="0" fontId="0" fillId="0" borderId="0" xfId="0" applyAlignment="1">
      <alignment horizontal="right"/>
    </xf>
    <xf numFmtId="0" fontId="0" fillId="0" borderId="7" xfId="0" applyBorder="1"/>
    <xf numFmtId="0" fontId="5" fillId="0" borderId="0" xfId="0" applyFont="1" applyAlignment="1">
      <alignment horizontal="center" wrapText="1"/>
    </xf>
    <xf numFmtId="0" fontId="5" fillId="0" borderId="0" xfId="0" applyFont="1"/>
    <xf numFmtId="0" fontId="0" fillId="0" borderId="4" xfId="0" applyBorder="1"/>
    <xf numFmtId="0" fontId="5" fillId="0" borderId="8" xfId="0" applyFont="1" applyBorder="1"/>
    <xf numFmtId="0" fontId="5" fillId="0" borderId="2" xfId="0" applyFont="1" applyBorder="1" applyAlignment="1">
      <alignment horizontal="center"/>
    </xf>
    <xf numFmtId="9" fontId="0" fillId="3" borderId="9" xfId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7" xfId="0" applyNumberFormat="1" applyBorder="1"/>
    <xf numFmtId="0" fontId="0" fillId="0" borderId="10" xfId="0" applyBorder="1"/>
    <xf numFmtId="2" fontId="0" fillId="0" borderId="11" xfId="0" applyNumberFormat="1" applyBorder="1"/>
    <xf numFmtId="2" fontId="0" fillId="4" borderId="12" xfId="0" applyNumberForma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13" xfId="0" applyBorder="1"/>
    <xf numFmtId="2" fontId="0" fillId="0" borderId="7" xfId="0" applyNumberFormat="1" applyBorder="1" applyAlignment="1">
      <alignment horizontal="center"/>
    </xf>
    <xf numFmtId="0" fontId="0" fillId="0" borderId="14" xfId="0" applyBorder="1"/>
    <xf numFmtId="2" fontId="0" fillId="0" borderId="1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5" fillId="4" borderId="5" xfId="0" applyNumberFormat="1" applyFont="1" applyFill="1" applyBorder="1"/>
    <xf numFmtId="2" fontId="5" fillId="4" borderId="13" xfId="0" applyNumberFormat="1" applyFont="1" applyFill="1" applyBorder="1"/>
    <xf numFmtId="0" fontId="2" fillId="0" borderId="12" xfId="2" applyBorder="1"/>
    <xf numFmtId="0" fontId="0" fillId="0" borderId="12" xfId="0" applyBorder="1"/>
    <xf numFmtId="0" fontId="0" fillId="0" borderId="15" xfId="0" applyBorder="1"/>
    <xf numFmtId="2" fontId="0" fillId="3" borderId="10" xfId="0" applyNumberFormat="1" applyFill="1" applyBorder="1"/>
    <xf numFmtId="0" fontId="6" fillId="0" borderId="4" xfId="0" applyFont="1" applyBorder="1"/>
    <xf numFmtId="164" fontId="0" fillId="3" borderId="9" xfId="0" applyNumberFormat="1" applyFill="1" applyBorder="1" applyAlignment="1">
      <alignment horizontal="center"/>
    </xf>
    <xf numFmtId="0" fontId="6" fillId="2" borderId="0" xfId="0" applyFont="1" applyFill="1"/>
    <xf numFmtId="9" fontId="0" fillId="3" borderId="0" xfId="0" applyNumberFormat="1" applyFill="1" applyAlignment="1">
      <alignment horizontal="center"/>
    </xf>
    <xf numFmtId="0" fontId="6" fillId="0" borderId="0" xfId="0" applyFont="1"/>
    <xf numFmtId="0" fontId="7" fillId="0" borderId="0" xfId="0" applyFont="1"/>
    <xf numFmtId="0" fontId="0" fillId="0" borderId="0" xfId="0" applyBorder="1" applyAlignment="1">
      <alignment horizontal="left" vertical="center"/>
    </xf>
    <xf numFmtId="0" fontId="0" fillId="0" borderId="0" xfId="0" applyBorder="1"/>
    <xf numFmtId="0" fontId="5" fillId="0" borderId="0" xfId="0" applyFont="1" applyBorder="1" applyAlignment="1">
      <alignment horizontal="center"/>
    </xf>
    <xf numFmtId="3" fontId="0" fillId="3" borderId="9" xfId="0" applyNumberFormat="1" applyFill="1" applyBorder="1"/>
    <xf numFmtId="0" fontId="0" fillId="3" borderId="9" xfId="0" applyFill="1" applyBorder="1"/>
    <xf numFmtId="0" fontId="5" fillId="0" borderId="10" xfId="0" applyFont="1" applyBorder="1"/>
    <xf numFmtId="0" fontId="0" fillId="0" borderId="16" xfId="0" applyBorder="1"/>
    <xf numFmtId="0" fontId="0" fillId="0" borderId="17" xfId="0" applyFill="1" applyBorder="1"/>
    <xf numFmtId="0" fontId="0" fillId="0" borderId="19" xfId="0" applyFill="1" applyBorder="1"/>
    <xf numFmtId="0" fontId="3" fillId="0" borderId="18" xfId="0" applyFont="1" applyBorder="1"/>
    <xf numFmtId="9" fontId="0" fillId="3" borderId="20" xfId="0" applyNumberFormat="1" applyFill="1" applyBorder="1"/>
    <xf numFmtId="0" fontId="6" fillId="0" borderId="0" xfId="0" applyFont="1" applyFill="1"/>
    <xf numFmtId="2" fontId="0" fillId="0" borderId="0" xfId="0" applyNumberFormat="1" applyFill="1"/>
    <xf numFmtId="9" fontId="0" fillId="3" borderId="12" xfId="0" applyNumberFormat="1" applyFill="1" applyBorder="1" applyAlignment="1">
      <alignment horizontal="center"/>
    </xf>
    <xf numFmtId="0" fontId="8" fillId="0" borderId="0" xfId="0" applyFont="1"/>
    <xf numFmtId="0" fontId="9" fillId="0" borderId="21" xfId="0" applyFont="1" applyBorder="1"/>
    <xf numFmtId="0" fontId="9" fillId="0" borderId="21" xfId="0" applyFont="1" applyBorder="1" applyAlignment="1">
      <alignment horizontal="center"/>
    </xf>
    <xf numFmtId="169" fontId="8" fillId="5" borderId="22" xfId="0" applyNumberFormat="1" applyFont="1" applyFill="1" applyBorder="1"/>
    <xf numFmtId="0" fontId="8" fillId="0" borderId="21" xfId="0" applyFont="1" applyBorder="1"/>
    <xf numFmtId="9" fontId="8" fillId="0" borderId="21" xfId="0" applyNumberFormat="1" applyFont="1" applyBorder="1" applyAlignment="1">
      <alignment horizontal="center"/>
    </xf>
    <xf numFmtId="0" fontId="10" fillId="0" borderId="0" xfId="0" applyFont="1"/>
    <xf numFmtId="0" fontId="8" fillId="3" borderId="21" xfId="0" applyFont="1" applyFill="1" applyBorder="1"/>
    <xf numFmtId="10" fontId="8" fillId="6" borderId="21" xfId="1" applyNumberFormat="1" applyFont="1" applyFill="1" applyBorder="1"/>
    <xf numFmtId="0" fontId="9" fillId="0" borderId="0" xfId="0" applyFont="1"/>
    <xf numFmtId="10" fontId="8" fillId="3" borderId="21" xfId="0" applyNumberFormat="1" applyFont="1" applyFill="1" applyBorder="1"/>
    <xf numFmtId="9" fontId="8" fillId="3" borderId="21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169" fontId="11" fillId="7" borderId="23" xfId="0" applyNumberFormat="1" applyFont="1" applyFill="1" applyBorder="1"/>
    <xf numFmtId="169" fontId="8" fillId="0" borderId="0" xfId="0" applyNumberFormat="1" applyFont="1"/>
    <xf numFmtId="0" fontId="8" fillId="0" borderId="21" xfId="0" applyFont="1" applyBorder="1" applyAlignment="1">
      <alignment horizontal="center"/>
    </xf>
    <xf numFmtId="10" fontId="8" fillId="0" borderId="24" xfId="0" applyNumberFormat="1" applyFont="1" applyBorder="1" applyAlignment="1">
      <alignment horizontal="center"/>
    </xf>
    <xf numFmtId="0" fontId="8" fillId="0" borderId="25" xfId="0" applyFont="1" applyBorder="1"/>
    <xf numFmtId="169" fontId="11" fillId="7" borderId="22" xfId="0" applyNumberFormat="1" applyFont="1" applyFill="1" applyBorder="1" applyAlignment="1">
      <alignment horizontal="center"/>
    </xf>
    <xf numFmtId="0" fontId="8" fillId="0" borderId="1" xfId="0" applyFont="1" applyBorder="1"/>
    <xf numFmtId="0" fontId="8" fillId="0" borderId="2" xfId="0" applyFont="1" applyBorder="1"/>
    <xf numFmtId="0" fontId="9" fillId="0" borderId="26" xfId="0" applyFont="1" applyBorder="1"/>
    <xf numFmtId="0" fontId="9" fillId="0" borderId="26" xfId="0" applyFont="1" applyBorder="1" applyAlignment="1">
      <alignment horizontal="center"/>
    </xf>
    <xf numFmtId="0" fontId="8" fillId="0" borderId="4" xfId="0" applyFont="1" applyBorder="1"/>
    <xf numFmtId="0" fontId="8" fillId="0" borderId="0" xfId="0" applyFont="1" applyBorder="1"/>
    <xf numFmtId="0" fontId="10" fillId="0" borderId="4" xfId="0" applyFont="1" applyBorder="1"/>
    <xf numFmtId="0" fontId="8" fillId="0" borderId="27" xfId="0" applyFont="1" applyBorder="1"/>
    <xf numFmtId="0" fontId="9" fillId="0" borderId="0" xfId="0" applyFont="1" applyBorder="1"/>
    <xf numFmtId="0" fontId="8" fillId="0" borderId="0" xfId="0" applyFont="1" applyBorder="1" applyAlignment="1">
      <alignment horizontal="center"/>
    </xf>
    <xf numFmtId="169" fontId="8" fillId="0" borderId="0" xfId="0" applyNumberFormat="1" applyFont="1" applyBorder="1"/>
    <xf numFmtId="0" fontId="8" fillId="0" borderId="28" xfId="0" applyFont="1" applyBorder="1"/>
  </cellXfs>
  <cellStyles count="3">
    <cellStyle name="Hyperlink" xfId="2" builtinId="8"/>
    <cellStyle name="Normal" xfId="0" builtinId="0"/>
    <cellStyle name="Percent" xfId="1" builtinId="5"/>
  </cellStyles>
  <dxfs count="10"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419100</xdr:colOff>
      <xdr:row>45</xdr:row>
      <xdr:rowOff>12700</xdr:rowOff>
    </xdr:from>
    <xdr:to>
      <xdr:col>10</xdr:col>
      <xdr:colOff>12700</xdr:colOff>
      <xdr:row>49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AB00EF-3852-4045-B6A1-EAAC7AB4B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03900" y="1866900"/>
          <a:ext cx="4546600" cy="863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419100</xdr:colOff>
      <xdr:row>9</xdr:row>
      <xdr:rowOff>12700</xdr:rowOff>
    </xdr:from>
    <xdr:to>
      <xdr:col>7</xdr:col>
      <xdr:colOff>12700</xdr:colOff>
      <xdr:row>13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F9676B-88EA-D0B3-ACDF-16A9BD424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03900" y="1866900"/>
          <a:ext cx="4546600" cy="8636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75E09-E700-514A-9944-E753E30DF7A8}">
  <dimension ref="A1:P56"/>
  <sheetViews>
    <sheetView tabSelected="1" topLeftCell="A30" workbookViewId="0">
      <selection activeCell="B40" sqref="B40"/>
    </sheetView>
  </sheetViews>
  <sheetFormatPr baseColWidth="10" defaultRowHeight="16"/>
  <cols>
    <col min="2" max="2" width="19" customWidth="1"/>
    <col min="3" max="3" width="21.5" customWidth="1"/>
    <col min="16" max="16" width="23.33203125" customWidth="1"/>
  </cols>
  <sheetData>
    <row r="1" spans="1:16" ht="17" thickBot="1"/>
    <row r="2" spans="1:16" ht="17" thickBot="1">
      <c r="B2" s="48" t="s">
        <v>29</v>
      </c>
      <c r="C2" s="1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>
      <c r="A3" s="7"/>
      <c r="B3" s="47" t="s">
        <v>36</v>
      </c>
      <c r="C3" s="42">
        <v>1060</v>
      </c>
      <c r="D3" s="39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7"/>
    </row>
    <row r="4" spans="1:16">
      <c r="A4" s="7"/>
      <c r="B4" s="45" t="s">
        <v>30</v>
      </c>
      <c r="C4" s="43">
        <v>485.39</v>
      </c>
      <c r="D4" s="6"/>
      <c r="I4" s="38"/>
      <c r="P4" s="7"/>
    </row>
    <row r="5" spans="1:16" ht="17" customHeight="1" thickBot="1">
      <c r="A5" s="7"/>
      <c r="B5" s="46" t="s">
        <v>33</v>
      </c>
      <c r="C5" s="49">
        <v>0</v>
      </c>
      <c r="D5" s="30"/>
      <c r="N5" s="8" t="s">
        <v>0</v>
      </c>
      <c r="O5" s="9" t="s">
        <v>1</v>
      </c>
      <c r="P5" s="7"/>
    </row>
    <row r="6" spans="1:16">
      <c r="A6" s="7"/>
      <c r="B6" s="40" t="s">
        <v>2</v>
      </c>
      <c r="C6" s="44" t="s">
        <v>28</v>
      </c>
      <c r="D6" s="41">
        <v>2025</v>
      </c>
      <c r="E6" s="12">
        <f t="shared" ref="E6:M6" si="0">D6+1</f>
        <v>2026</v>
      </c>
      <c r="F6" s="12">
        <f t="shared" si="0"/>
        <v>2027</v>
      </c>
      <c r="G6" s="12">
        <f t="shared" si="0"/>
        <v>2028</v>
      </c>
      <c r="H6" s="12">
        <f t="shared" si="0"/>
        <v>2029</v>
      </c>
      <c r="I6" s="12">
        <f t="shared" si="0"/>
        <v>2030</v>
      </c>
      <c r="J6" s="12">
        <f t="shared" si="0"/>
        <v>2031</v>
      </c>
      <c r="K6" s="12">
        <f t="shared" si="0"/>
        <v>2032</v>
      </c>
      <c r="L6" s="12">
        <f t="shared" si="0"/>
        <v>2033</v>
      </c>
      <c r="M6" s="12">
        <f t="shared" si="0"/>
        <v>2034</v>
      </c>
      <c r="N6" s="12">
        <v>2034</v>
      </c>
      <c r="O6" s="13">
        <v>0.06</v>
      </c>
      <c r="P6" s="7" t="s">
        <v>3</v>
      </c>
    </row>
    <row r="7" spans="1:16">
      <c r="B7" s="10" t="s">
        <v>4</v>
      </c>
      <c r="C7" s="32">
        <v>47</v>
      </c>
      <c r="D7" s="14">
        <f>C7*(1+$O$6)</f>
        <v>49.82</v>
      </c>
      <c r="E7" s="14">
        <f>D7*(1+$O$6)</f>
        <v>52.809200000000004</v>
      </c>
      <c r="F7" s="14">
        <f>E7*(1+$O$6)</f>
        <v>55.97775200000001</v>
      </c>
      <c r="G7" s="14">
        <f>F7*(1+$O$6)</f>
        <v>59.336417120000014</v>
      </c>
      <c r="H7" s="14">
        <f>G7*(1+$O$6)</f>
        <v>62.896602147200021</v>
      </c>
      <c r="I7" s="14">
        <f>H7*(1+$O$7)</f>
        <v>66.670398276032032</v>
      </c>
      <c r="J7" s="14">
        <f>I7*(1+$O$7)</f>
        <v>70.670622172593951</v>
      </c>
      <c r="K7" s="14">
        <f>J7*(1+$O$7)</f>
        <v>74.910859502949592</v>
      </c>
      <c r="L7" s="14">
        <f>K7*(1+$O$7)</f>
        <v>79.405511073126576</v>
      </c>
      <c r="M7" s="14">
        <f>L7*(1+$O$7)</f>
        <v>84.169841737514176</v>
      </c>
      <c r="N7" s="14">
        <f>L7*O9</f>
        <v>1191.0826660968987</v>
      </c>
      <c r="O7" s="13">
        <v>0.06</v>
      </c>
      <c r="P7" s="15" t="s">
        <v>5</v>
      </c>
    </row>
    <row r="8" spans="1:16">
      <c r="B8" s="10"/>
      <c r="C8" s="16" t="str">
        <f>CONCATENATE("PV(",O8*100,"%)")</f>
        <v>PV(10%)</v>
      </c>
      <c r="D8" s="14">
        <f>D7*(1+$O$8)^($D$6-D6-1)*$C$5</f>
        <v>0</v>
      </c>
      <c r="E8" s="14">
        <f>E7*(1+$O$8)^($D$6-E6-1)*$C$5</f>
        <v>0</v>
      </c>
      <c r="F8" s="14">
        <f>F7*(1+$O$8)^($D$6-F6-1)*$C$5</f>
        <v>0</v>
      </c>
      <c r="G8" s="14">
        <f>G7*(1+$O$8)^($D$6-G6-1)*$C$5</f>
        <v>0</v>
      </c>
      <c r="H8" s="14">
        <f>H7*(1+$O$8)^($D$6-H6-1)*$C$5</f>
        <v>0</v>
      </c>
      <c r="I8" s="14">
        <f>I7*(1+$O$8)^($D$6-I6-1)*$C$5</f>
        <v>0</v>
      </c>
      <c r="J8" s="14">
        <f>J7*(1+$O$8)^($D$6-J6-1)*$C$5</f>
        <v>0</v>
      </c>
      <c r="K8" s="14">
        <f>K7*(1+$O$8)^($D$6-K6-1)*$C$5</f>
        <v>0</v>
      </c>
      <c r="L8" s="14">
        <f>L7*(1+$O$8)^($D$6-L6-1)*$C$5</f>
        <v>0</v>
      </c>
      <c r="M8" s="14">
        <f>M7*(1+$O$8)^($D$6-M6-1)*$C$5</f>
        <v>0</v>
      </c>
      <c r="N8" s="14">
        <f>N7*(1+$O$8)^($D$6-N6-1)</f>
        <v>459.21392906949461</v>
      </c>
      <c r="O8" s="13">
        <v>0.1</v>
      </c>
      <c r="P8" s="7" t="s">
        <v>6</v>
      </c>
    </row>
    <row r="9" spans="1:16" ht="17" thickBot="1">
      <c r="B9" s="10"/>
      <c r="C9" s="17" t="s">
        <v>7</v>
      </c>
      <c r="D9" s="18">
        <f>SUM(D8:N8)</f>
        <v>459.21392906949461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34">
        <v>15</v>
      </c>
      <c r="P9" s="7" t="s">
        <v>8</v>
      </c>
    </row>
    <row r="10" spans="1:16">
      <c r="B10" s="10"/>
      <c r="P10" s="7"/>
    </row>
    <row r="11" spans="1:16" ht="30" thickBot="1">
      <c r="B11" s="10"/>
      <c r="N11" s="8" t="s">
        <v>0</v>
      </c>
      <c r="O11" s="9" t="s">
        <v>1</v>
      </c>
      <c r="P11" s="7"/>
    </row>
    <row r="12" spans="1:16">
      <c r="B12" s="10" t="s">
        <v>9</v>
      </c>
      <c r="C12" s="11" t="str">
        <f>C6</f>
        <v>Owner's Earning</v>
      </c>
      <c r="D12" s="12">
        <f>D6</f>
        <v>2025</v>
      </c>
      <c r="E12" s="12">
        <f t="shared" ref="E12:M12" si="1">D12+1</f>
        <v>2026</v>
      </c>
      <c r="F12" s="12">
        <f t="shared" si="1"/>
        <v>2027</v>
      </c>
      <c r="G12" s="12">
        <f t="shared" si="1"/>
        <v>2028</v>
      </c>
      <c r="H12" s="12">
        <f t="shared" si="1"/>
        <v>2029</v>
      </c>
      <c r="I12" s="12">
        <f t="shared" si="1"/>
        <v>2030</v>
      </c>
      <c r="J12" s="12">
        <f t="shared" si="1"/>
        <v>2031</v>
      </c>
      <c r="K12" s="12">
        <f t="shared" si="1"/>
        <v>2032</v>
      </c>
      <c r="L12" s="12">
        <f t="shared" si="1"/>
        <v>2033</v>
      </c>
      <c r="M12" s="12">
        <f t="shared" si="1"/>
        <v>2034</v>
      </c>
      <c r="N12" s="12">
        <f>N6</f>
        <v>2034</v>
      </c>
      <c r="O12" s="13">
        <v>0.08</v>
      </c>
      <c r="P12" s="7" t="s">
        <v>3</v>
      </c>
    </row>
    <row r="13" spans="1:16">
      <c r="B13" s="10" t="s">
        <v>10</v>
      </c>
      <c r="C13" s="32">
        <f>C7</f>
        <v>47</v>
      </c>
      <c r="D13" s="14">
        <f>C13*(1+$O$12)</f>
        <v>50.760000000000005</v>
      </c>
      <c r="E13" s="14">
        <f>D13*(1+$O$12)</f>
        <v>54.820800000000013</v>
      </c>
      <c r="F13" s="14">
        <f>E13*(1+$O$12)</f>
        <v>59.206464000000018</v>
      </c>
      <c r="G13" s="14">
        <f>F13*(1+$O$12)</f>
        <v>63.942981120000027</v>
      </c>
      <c r="H13" s="14">
        <f>G13*(1+$O$12)</f>
        <v>69.058419609600037</v>
      </c>
      <c r="I13" s="14">
        <f>H13*(1+$O$13)</f>
        <v>74.583093178368046</v>
      </c>
      <c r="J13" s="14">
        <f>I13*(1+$O$13)</f>
        <v>80.549740632637494</v>
      </c>
      <c r="K13" s="14">
        <f>J13*(1+$O$13)</f>
        <v>86.993719883248502</v>
      </c>
      <c r="L13" s="14">
        <f>K13*(1+$O$13)</f>
        <v>93.953217473908396</v>
      </c>
      <c r="M13" s="14">
        <f>L13*(1+$O$13)</f>
        <v>101.46947487182108</v>
      </c>
      <c r="N13" s="14">
        <f>L13*O15</f>
        <v>2348.8304368477097</v>
      </c>
      <c r="O13" s="13">
        <v>0.08</v>
      </c>
      <c r="P13" s="15" t="s">
        <v>5</v>
      </c>
    </row>
    <row r="14" spans="1:16">
      <c r="B14" s="10" t="s">
        <v>35</v>
      </c>
      <c r="C14" s="16" t="str">
        <f>CONCATENATE("PV(",O14*100,"%)")</f>
        <v>PV(10%)</v>
      </c>
      <c r="D14" s="14">
        <f>D13*(1+$O$14)^($D$12-D12-1)*$C$5</f>
        <v>0</v>
      </c>
      <c r="E14" s="14">
        <f>E13*(1+$O$14)^($D$12-E12-1)*$C$5</f>
        <v>0</v>
      </c>
      <c r="F14" s="14">
        <f>F13*(1+$O$14)^($D$12-F12-1)*$C$5</f>
        <v>0</v>
      </c>
      <c r="G14" s="14">
        <f>G13*(1+$O$14)^($D$12-G12-1)*$C$5</f>
        <v>0</v>
      </c>
      <c r="H14" s="14">
        <f>H13*(1+$O$14)^($D$12-H12-1)*$C$5</f>
        <v>0</v>
      </c>
      <c r="I14" s="14">
        <f>I13*(1+$O$14)^($D$12-I12-1)*$C$5</f>
        <v>0</v>
      </c>
      <c r="J14" s="14">
        <f>J13*(1+$O$14)^($D$12-J12-1)*$C$5</f>
        <v>0</v>
      </c>
      <c r="K14" s="14">
        <f>K13*(1+$O$14)^($D$12-K12-1)*$C$5</f>
        <v>0</v>
      </c>
      <c r="L14" s="14">
        <f>L13*(1+$O$14)^($D$12-L12-1)*$C$5</f>
        <v>0</v>
      </c>
      <c r="M14" s="14">
        <f>M13*(1+$O$14)^($D$12-M12-1)*$C$5</f>
        <v>0</v>
      </c>
      <c r="N14" s="14">
        <f>N13*(1+$O$8)^($D$6-N12-1)</f>
        <v>905.57581293446935</v>
      </c>
      <c r="O14" s="13">
        <f>O8</f>
        <v>0.1</v>
      </c>
      <c r="P14" s="7" t="s">
        <v>6</v>
      </c>
    </row>
    <row r="15" spans="1:16" ht="17" thickBot="1">
      <c r="B15" s="10"/>
      <c r="C15" s="17" t="s">
        <v>11</v>
      </c>
      <c r="D15" s="18">
        <f>SUM(D14:N14)</f>
        <v>905.57581293446935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34">
        <v>25</v>
      </c>
      <c r="P15" s="7" t="s">
        <v>8</v>
      </c>
    </row>
    <row r="16" spans="1:16">
      <c r="B16" s="10"/>
      <c r="P16" s="7"/>
    </row>
    <row r="17" spans="2:16" ht="30" thickBot="1">
      <c r="B17" s="10"/>
      <c r="N17" s="8" t="s">
        <v>0</v>
      </c>
      <c r="O17" s="9" t="s">
        <v>1</v>
      </c>
      <c r="P17" s="7"/>
    </row>
    <row r="18" spans="2:16">
      <c r="B18" s="10" t="s">
        <v>12</v>
      </c>
      <c r="C18" s="11" t="str">
        <f>C12</f>
        <v>Owner's Earning</v>
      </c>
      <c r="D18" s="12">
        <f>D12</f>
        <v>2025</v>
      </c>
      <c r="E18" s="12">
        <f t="shared" ref="E18:M18" si="2">D18+1</f>
        <v>2026</v>
      </c>
      <c r="F18" s="12">
        <f t="shared" si="2"/>
        <v>2027</v>
      </c>
      <c r="G18" s="12">
        <f t="shared" si="2"/>
        <v>2028</v>
      </c>
      <c r="H18" s="12">
        <f t="shared" si="2"/>
        <v>2029</v>
      </c>
      <c r="I18" s="12">
        <f t="shared" si="2"/>
        <v>2030</v>
      </c>
      <c r="J18" s="12">
        <f t="shared" si="2"/>
        <v>2031</v>
      </c>
      <c r="K18" s="12">
        <f t="shared" si="2"/>
        <v>2032</v>
      </c>
      <c r="L18" s="12">
        <f t="shared" si="2"/>
        <v>2033</v>
      </c>
      <c r="M18" s="12">
        <f t="shared" si="2"/>
        <v>2034</v>
      </c>
      <c r="N18" s="12">
        <f>N12</f>
        <v>2034</v>
      </c>
      <c r="O18" s="13">
        <v>0.05</v>
      </c>
      <c r="P18" s="7" t="s">
        <v>3</v>
      </c>
    </row>
    <row r="19" spans="2:16">
      <c r="B19" s="10" t="s">
        <v>13</v>
      </c>
      <c r="C19" s="32">
        <f>C13</f>
        <v>47</v>
      </c>
      <c r="D19" s="14">
        <f>C19*(1+$O$18)</f>
        <v>49.35</v>
      </c>
      <c r="E19" s="14">
        <f>D19*(1+$O$18)</f>
        <v>51.817500000000003</v>
      </c>
      <c r="F19" s="14">
        <f>E19*(1+$O$18)</f>
        <v>54.408375000000007</v>
      </c>
      <c r="G19" s="14">
        <f>F19*(1+$O$18)</f>
        <v>57.128793750000007</v>
      </c>
      <c r="H19" s="14">
        <f>G19*(1+$O$18)</f>
        <v>59.985233437500007</v>
      </c>
      <c r="I19" s="14">
        <f>H19*(1+$O$19)</f>
        <v>62.984495109375011</v>
      </c>
      <c r="J19" s="14">
        <f>I19*(1+$O$19)</f>
        <v>66.133719864843769</v>
      </c>
      <c r="K19" s="14">
        <f>J19*(1+$O$19)</f>
        <v>69.440405858085967</v>
      </c>
      <c r="L19" s="14">
        <f>K19*(1+$O$19)</f>
        <v>72.912426150990271</v>
      </c>
      <c r="M19" s="14">
        <f>L19*(1+$O$19)</f>
        <v>76.558047458539789</v>
      </c>
      <c r="N19" s="14">
        <f>L19*O21</f>
        <v>874.94911381188331</v>
      </c>
      <c r="O19" s="13">
        <v>0.05</v>
      </c>
      <c r="P19" s="15" t="s">
        <v>5</v>
      </c>
    </row>
    <row r="20" spans="2:16">
      <c r="B20" s="10" t="s">
        <v>23</v>
      </c>
      <c r="C20" s="16" t="str">
        <f>CONCATENATE("PV(",O20*100,"%)")</f>
        <v>PV(10%)</v>
      </c>
      <c r="D20" s="14">
        <f>D19*(1+$O$20)^($D$18-D18-1)*$C$5</f>
        <v>0</v>
      </c>
      <c r="E20" s="14">
        <f>E19*(1+$O$20)^($D$18-E18-1)*$C$5</f>
        <v>0</v>
      </c>
      <c r="F20" s="14">
        <f>F19*(1+$O$20)^($D$18-F18-1)*$C$5</f>
        <v>0</v>
      </c>
      <c r="G20" s="14">
        <f>G19*(1+$O$20)^($D$18-G18-1)*$C$5</f>
        <v>0</v>
      </c>
      <c r="H20" s="14">
        <f>H19*(1+$O$20)^($D$18-H18-1)*$C$5</f>
        <v>0</v>
      </c>
      <c r="I20" s="14">
        <f>I19*(1+$O$20)^($D$18-I18-1)*$C$5</f>
        <v>0</v>
      </c>
      <c r="J20" s="14">
        <f>J19*(1+$O$20)^($D$18-J18-1)*$C$5</f>
        <v>0</v>
      </c>
      <c r="K20" s="14">
        <f>K19*(1+$O$20)^($D$18-K18-1)*$C$5</f>
        <v>0</v>
      </c>
      <c r="L20" s="14">
        <f>L19*(1+$O$20)^($D$18-L18-1)*$C$5</f>
        <v>0</v>
      </c>
      <c r="M20" s="14">
        <f>M19*(1+$O$20)^($D$18-M18-1)*$C$5</f>
        <v>0</v>
      </c>
      <c r="N20" s="14">
        <f t="shared" ref="N20" si="3">N19*(1+$O$20)^($D$18-N18-1)</f>
        <v>337.33075942248701</v>
      </c>
      <c r="O20" s="13">
        <f>O14</f>
        <v>0.1</v>
      </c>
      <c r="P20" s="7" t="s">
        <v>6</v>
      </c>
    </row>
    <row r="21" spans="2:16" ht="17" thickBot="1">
      <c r="B21" s="10"/>
      <c r="C21" s="17" t="s">
        <v>11</v>
      </c>
      <c r="D21" s="18">
        <f>SUM(D20:N20)</f>
        <v>337.33075942248701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34">
        <v>12</v>
      </c>
      <c r="P21" s="7" t="s">
        <v>8</v>
      </c>
    </row>
    <row r="22" spans="2:16" ht="17" thickBot="1">
      <c r="B22" s="10"/>
      <c r="P22" s="7"/>
    </row>
    <row r="23" spans="2:16" ht="17" thickBot="1">
      <c r="B23" s="10"/>
      <c r="C23" s="20" t="s">
        <v>14</v>
      </c>
      <c r="D23" s="21" t="s">
        <v>15</v>
      </c>
      <c r="E23" s="21" t="s">
        <v>16</v>
      </c>
      <c r="F23" s="22" t="s">
        <v>17</v>
      </c>
      <c r="I23" s="37" t="s">
        <v>25</v>
      </c>
      <c r="P23" s="7"/>
    </row>
    <row r="24" spans="2:16">
      <c r="B24" s="10"/>
      <c r="C24" s="10" t="s">
        <v>18</v>
      </c>
      <c r="D24" s="36">
        <v>0.33</v>
      </c>
      <c r="E24" s="14">
        <f>D9</f>
        <v>459.21392906949461</v>
      </c>
      <c r="F24" s="23">
        <f>E24*D24</f>
        <v>151.54059659293324</v>
      </c>
      <c r="I24" t="s">
        <v>26</v>
      </c>
      <c r="P24" s="7"/>
    </row>
    <row r="25" spans="2:16">
      <c r="B25" s="10"/>
      <c r="C25" s="10" t="s">
        <v>19</v>
      </c>
      <c r="D25" s="36">
        <v>0.34</v>
      </c>
      <c r="E25" s="14">
        <f>D15</f>
        <v>905.57581293446935</v>
      </c>
      <c r="F25" s="23">
        <f>E25*D25</f>
        <v>307.8957763977196</v>
      </c>
      <c r="I25" s="37" t="s">
        <v>27</v>
      </c>
      <c r="P25" s="7"/>
    </row>
    <row r="26" spans="2:16" ht="17" thickBot="1">
      <c r="B26" s="10"/>
      <c r="C26" s="24" t="s">
        <v>20</v>
      </c>
      <c r="D26" s="52">
        <v>0.33</v>
      </c>
      <c r="E26" s="25">
        <f>D21</f>
        <v>337.33075942248701</v>
      </c>
      <c r="F26" s="26">
        <f>E26*D26</f>
        <v>111.31915060942072</v>
      </c>
      <c r="P26" s="7"/>
    </row>
    <row r="27" spans="2:16" ht="17" thickBot="1">
      <c r="B27" s="10"/>
      <c r="C27" s="35" t="s">
        <v>24</v>
      </c>
      <c r="D27" s="5">
        <f>C3</f>
        <v>1060</v>
      </c>
      <c r="E27" s="27" t="s">
        <v>21</v>
      </c>
      <c r="F27" s="28">
        <f>SUM(F24:F26)</f>
        <v>570.7555236000735</v>
      </c>
      <c r="P27" s="7"/>
    </row>
    <row r="28" spans="2:16">
      <c r="B28" s="10"/>
      <c r="P28" s="7"/>
    </row>
    <row r="29" spans="2:16">
      <c r="B29" s="33" t="s">
        <v>22</v>
      </c>
      <c r="P29" s="7"/>
    </row>
    <row r="30" spans="2:16">
      <c r="B30" s="10"/>
      <c r="P30" s="7"/>
    </row>
    <row r="31" spans="2:16" ht="17" thickBot="1">
      <c r="B31" s="24"/>
      <c r="C31" s="29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1"/>
    </row>
    <row r="36" spans="2:11" ht="17" thickBot="1"/>
    <row r="37" spans="2:11" ht="17" thickBot="1">
      <c r="B37" s="72"/>
      <c r="C37" s="73"/>
      <c r="D37" s="3"/>
      <c r="E37" s="3"/>
      <c r="F37" s="3"/>
      <c r="G37" s="74" t="s">
        <v>37</v>
      </c>
      <c r="H37" s="75" t="s">
        <v>38</v>
      </c>
      <c r="I37" s="3"/>
      <c r="J37" s="3"/>
      <c r="K37" s="4"/>
    </row>
    <row r="38" spans="2:11" ht="17" thickBot="1">
      <c r="B38" s="76" t="s">
        <v>39</v>
      </c>
      <c r="C38" s="56">
        <v>1047150</v>
      </c>
      <c r="D38" s="40"/>
      <c r="E38" s="40"/>
      <c r="F38" s="40"/>
      <c r="G38" s="57" t="s">
        <v>40</v>
      </c>
      <c r="H38" s="58">
        <v>0.12</v>
      </c>
      <c r="I38" s="40"/>
      <c r="J38" s="40"/>
      <c r="K38" s="7"/>
    </row>
    <row r="39" spans="2:11">
      <c r="B39" s="76"/>
      <c r="C39" s="77"/>
      <c r="D39" s="40"/>
      <c r="E39" s="40"/>
      <c r="F39" s="40"/>
      <c r="G39" s="57" t="s">
        <v>41</v>
      </c>
      <c r="H39" s="58">
        <v>0.09</v>
      </c>
      <c r="I39" s="40"/>
      <c r="J39" s="40"/>
      <c r="K39" s="7"/>
    </row>
    <row r="40" spans="2:11">
      <c r="B40" s="78" t="s">
        <v>42</v>
      </c>
      <c r="C40" s="77"/>
      <c r="D40" s="40"/>
      <c r="E40" s="40"/>
      <c r="F40" s="40"/>
      <c r="G40" s="57" t="s">
        <v>43</v>
      </c>
      <c r="H40" s="58">
        <v>0.08</v>
      </c>
      <c r="I40" s="40"/>
      <c r="J40" s="40"/>
      <c r="K40" s="7"/>
    </row>
    <row r="41" spans="2:11">
      <c r="B41" s="76" t="s">
        <v>44</v>
      </c>
      <c r="C41" s="60" t="s">
        <v>43</v>
      </c>
      <c r="D41" s="40"/>
      <c r="E41" s="40"/>
      <c r="F41" s="40"/>
      <c r="G41" s="57" t="s">
        <v>45</v>
      </c>
      <c r="H41" s="58">
        <v>7.0000000000000007E-2</v>
      </c>
      <c r="I41" s="40"/>
      <c r="J41" s="40"/>
      <c r="K41" s="7"/>
    </row>
    <row r="42" spans="2:11">
      <c r="B42" s="79" t="s">
        <v>46</v>
      </c>
      <c r="C42" s="61">
        <f>VLOOKUP(C41,G38:H43,2)</f>
        <v>0.08</v>
      </c>
      <c r="D42" s="80"/>
      <c r="E42" s="40"/>
      <c r="F42" s="40"/>
      <c r="G42" s="57" t="s">
        <v>47</v>
      </c>
      <c r="H42" s="58">
        <v>0.06</v>
      </c>
      <c r="I42" s="40"/>
      <c r="J42" s="40"/>
      <c r="K42" s="7"/>
    </row>
    <row r="43" spans="2:11">
      <c r="B43" s="79" t="s">
        <v>48</v>
      </c>
      <c r="C43" s="63">
        <v>2.5000000000000001E-2</v>
      </c>
      <c r="D43" s="40"/>
      <c r="E43" s="40"/>
      <c r="F43" s="40"/>
      <c r="G43" s="57" t="s">
        <v>49</v>
      </c>
      <c r="H43" s="64">
        <v>0.1</v>
      </c>
      <c r="I43" s="40"/>
      <c r="J43" s="40"/>
      <c r="K43" s="7"/>
    </row>
    <row r="44" spans="2:11">
      <c r="B44" s="79" t="s">
        <v>50</v>
      </c>
      <c r="C44" s="63">
        <v>0.04</v>
      </c>
      <c r="D44" s="40"/>
      <c r="E44" s="40"/>
      <c r="F44" s="40"/>
      <c r="G44" s="77"/>
      <c r="H44" s="81"/>
      <c r="I44" s="40"/>
      <c r="J44" s="40"/>
      <c r="K44" s="7"/>
    </row>
    <row r="45" spans="2:11">
      <c r="B45" s="76"/>
      <c r="C45" s="77"/>
      <c r="D45" s="40"/>
      <c r="E45" s="40"/>
      <c r="F45" s="40"/>
      <c r="G45" s="77"/>
      <c r="H45" s="81"/>
      <c r="I45" s="40"/>
      <c r="J45" s="40"/>
      <c r="K45" s="7"/>
    </row>
    <row r="46" spans="2:11">
      <c r="B46" s="78" t="s">
        <v>51</v>
      </c>
      <c r="C46" s="77"/>
      <c r="D46" s="40"/>
      <c r="E46" s="40"/>
      <c r="F46" s="40"/>
      <c r="G46" s="77"/>
      <c r="H46" s="81"/>
      <c r="I46" s="40"/>
      <c r="J46" s="40"/>
      <c r="K46" s="7"/>
    </row>
    <row r="47" spans="2:11">
      <c r="B47" s="79" t="s">
        <v>52</v>
      </c>
      <c r="C47" s="63">
        <v>0.182</v>
      </c>
      <c r="D47" s="40"/>
      <c r="E47" s="40"/>
      <c r="F47" s="40"/>
      <c r="G47" s="77"/>
      <c r="H47" s="81"/>
      <c r="I47" s="40"/>
      <c r="J47" s="40"/>
      <c r="K47" s="7"/>
    </row>
    <row r="48" spans="2:11">
      <c r="B48" s="79" t="s">
        <v>53</v>
      </c>
      <c r="C48" s="63">
        <v>0.1104</v>
      </c>
      <c r="D48" s="40"/>
      <c r="E48" s="40"/>
      <c r="F48" s="40"/>
      <c r="G48" s="77"/>
      <c r="H48" s="81"/>
      <c r="I48" s="40"/>
      <c r="J48" s="40"/>
      <c r="K48" s="7"/>
    </row>
    <row r="49" spans="2:11" ht="17" thickBot="1">
      <c r="B49" s="76"/>
      <c r="C49" s="77"/>
      <c r="D49" s="40"/>
      <c r="E49" s="40"/>
      <c r="F49" s="40"/>
      <c r="G49" s="77"/>
      <c r="H49" s="81"/>
      <c r="I49" s="40"/>
      <c r="J49" s="40"/>
      <c r="K49" s="7"/>
    </row>
    <row r="50" spans="2:11" ht="17" thickBot="1">
      <c r="B50" s="76" t="s">
        <v>54</v>
      </c>
      <c r="C50" s="66">
        <f>C38/(C47*(1+C44)*(1-C44/C48)/(C42-C44))</f>
        <v>347024.85014985013</v>
      </c>
      <c r="D50" s="40"/>
      <c r="E50" s="40"/>
      <c r="F50" s="40"/>
      <c r="G50" s="77"/>
      <c r="H50" s="81"/>
      <c r="I50" s="40"/>
      <c r="J50" s="40"/>
      <c r="K50" s="7"/>
    </row>
    <row r="51" spans="2:11">
      <c r="B51" s="76"/>
      <c r="C51" s="82"/>
      <c r="D51" s="40"/>
      <c r="E51" s="40"/>
      <c r="F51" s="40"/>
      <c r="G51" s="77"/>
      <c r="H51" s="81"/>
      <c r="I51" s="40"/>
      <c r="J51" s="40"/>
      <c r="K51" s="7"/>
    </row>
    <row r="52" spans="2:11">
      <c r="B52" s="76" t="s">
        <v>55</v>
      </c>
      <c r="C52" s="82"/>
      <c r="D52" s="40"/>
      <c r="E52" s="40"/>
      <c r="F52" s="40"/>
      <c r="G52" s="77"/>
      <c r="H52" s="81"/>
      <c r="I52" s="40"/>
      <c r="J52" s="40"/>
      <c r="K52" s="7"/>
    </row>
    <row r="53" spans="2:11">
      <c r="B53" s="79" t="s">
        <v>56</v>
      </c>
      <c r="C53" s="68">
        <v>5</v>
      </c>
      <c r="D53" s="40"/>
      <c r="E53" s="40"/>
      <c r="F53" s="40"/>
      <c r="G53" s="77"/>
      <c r="H53" s="81"/>
      <c r="I53" s="40"/>
      <c r="J53" s="40"/>
      <c r="K53" s="7"/>
    </row>
    <row r="54" spans="2:11" ht="17" thickBot="1">
      <c r="B54" s="79" t="s">
        <v>57</v>
      </c>
      <c r="C54" s="69">
        <v>0.02</v>
      </c>
      <c r="D54" s="40"/>
      <c r="E54" s="40"/>
      <c r="F54" s="40"/>
      <c r="G54" s="77"/>
      <c r="H54" s="81"/>
      <c r="I54" s="40"/>
      <c r="J54" s="40"/>
      <c r="K54" s="7"/>
    </row>
    <row r="55" spans="2:11" ht="17" thickBot="1">
      <c r="B55" s="83" t="s">
        <v>58</v>
      </c>
      <c r="C55" s="71">
        <f>C50*(1+C42-C54)^C53</f>
        <v>464397.5305333368</v>
      </c>
      <c r="D55" s="40"/>
      <c r="E55" s="40"/>
      <c r="F55" s="40" t="s">
        <v>60</v>
      </c>
      <c r="G55" s="77" t="s">
        <v>59</v>
      </c>
      <c r="H55" s="81"/>
      <c r="I55" s="40"/>
      <c r="J55" s="40"/>
      <c r="K55" s="7"/>
    </row>
    <row r="56" spans="2:11" ht="17" thickBot="1">
      <c r="B56" s="24"/>
      <c r="C56" s="30"/>
      <c r="D56" s="30"/>
      <c r="E56" s="30"/>
      <c r="F56" s="30"/>
      <c r="G56" s="30"/>
      <c r="H56" s="30"/>
      <c r="I56" s="30"/>
      <c r="J56" s="30"/>
      <c r="K56" s="31"/>
    </row>
  </sheetData>
  <conditionalFormatting sqref="D4">
    <cfRule type="containsText" dxfId="9" priority="1" operator="containsText" text="overvalued">
      <formula>NOT(ISERROR(SEARCH("overvalued",D4)))</formula>
    </cfRule>
    <cfRule type="containsText" dxfId="8" priority="2" operator="containsText" text="undervalued">
      <formula>NOT(ISERROR(SEARCH("undervalued",D4)))</formula>
    </cfRule>
  </conditionalFormatting>
  <dataValidations count="1">
    <dataValidation type="list" allowBlank="1" showInputMessage="1" showErrorMessage="1" sqref="C41" xr:uid="{117DB864-EEED-7340-B76F-4A4D0C31312F}">
      <formula1>$F$2:$F$7</formula1>
    </dataValidation>
  </dataValidation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A679E-2B2A-8D42-BA3A-7EC56A7FAA94}">
  <dimension ref="A1:P31"/>
  <sheetViews>
    <sheetView workbookViewId="0">
      <selection activeCell="F3" sqref="F3"/>
    </sheetView>
  </sheetViews>
  <sheetFormatPr baseColWidth="10" defaultRowHeight="16"/>
  <cols>
    <col min="2" max="2" width="19" customWidth="1"/>
    <col min="3" max="3" width="21.5" customWidth="1"/>
    <col min="16" max="16" width="23.33203125" customWidth="1"/>
  </cols>
  <sheetData>
    <row r="1" spans="1:16" ht="17" thickBot="1"/>
    <row r="2" spans="1:16" ht="17" thickBot="1">
      <c r="B2" s="48" t="s">
        <v>32</v>
      </c>
      <c r="C2" s="1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>
      <c r="A3" s="7"/>
      <c r="B3" s="47" t="s">
        <v>31</v>
      </c>
      <c r="C3" s="42">
        <v>100</v>
      </c>
      <c r="D3" s="39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7"/>
    </row>
    <row r="4" spans="1:16">
      <c r="A4" s="7"/>
      <c r="B4" s="45" t="s">
        <v>30</v>
      </c>
      <c r="C4" s="43">
        <v>150</v>
      </c>
      <c r="D4" s="6"/>
      <c r="I4" s="38"/>
      <c r="P4" s="7"/>
    </row>
    <row r="5" spans="1:16" ht="17" customHeight="1" thickBot="1">
      <c r="A5" s="7"/>
      <c r="B5" s="46" t="s">
        <v>34</v>
      </c>
      <c r="C5" s="49">
        <v>0</v>
      </c>
      <c r="D5" s="30"/>
      <c r="N5" s="8" t="s">
        <v>0</v>
      </c>
      <c r="O5" s="9" t="s">
        <v>1</v>
      </c>
      <c r="P5" s="7"/>
    </row>
    <row r="6" spans="1:16">
      <c r="A6" s="7"/>
      <c r="B6" s="40" t="s">
        <v>2</v>
      </c>
      <c r="C6" s="44" t="s">
        <v>28</v>
      </c>
      <c r="D6" s="41">
        <v>2025</v>
      </c>
      <c r="E6" s="12">
        <f t="shared" ref="E6:M6" si="0">D6+1</f>
        <v>2026</v>
      </c>
      <c r="F6" s="12">
        <f t="shared" si="0"/>
        <v>2027</v>
      </c>
      <c r="G6" s="12">
        <f t="shared" si="0"/>
        <v>2028</v>
      </c>
      <c r="H6" s="12">
        <f t="shared" si="0"/>
        <v>2029</v>
      </c>
      <c r="I6" s="12">
        <f t="shared" si="0"/>
        <v>2030</v>
      </c>
      <c r="J6" s="12">
        <f t="shared" si="0"/>
        <v>2031</v>
      </c>
      <c r="K6" s="12">
        <f t="shared" si="0"/>
        <v>2032</v>
      </c>
      <c r="L6" s="12">
        <f t="shared" si="0"/>
        <v>2033</v>
      </c>
      <c r="M6" s="12">
        <f t="shared" si="0"/>
        <v>2034</v>
      </c>
      <c r="N6" s="12">
        <v>2034</v>
      </c>
      <c r="O6" s="13">
        <v>0.06</v>
      </c>
      <c r="P6" s="7" t="s">
        <v>3</v>
      </c>
    </row>
    <row r="7" spans="1:16">
      <c r="B7" s="10" t="s">
        <v>4</v>
      </c>
      <c r="C7" s="32">
        <v>10</v>
      </c>
      <c r="D7" s="14">
        <f>C7*(1+$O$6)</f>
        <v>10.600000000000001</v>
      </c>
      <c r="E7" s="14">
        <f>D7*(1+$O$6)</f>
        <v>11.236000000000002</v>
      </c>
      <c r="F7" s="14">
        <f>E7*(1+$O$6)</f>
        <v>11.910160000000003</v>
      </c>
      <c r="G7" s="14">
        <f>F7*(1+$O$6)</f>
        <v>12.624769600000004</v>
      </c>
      <c r="H7" s="14">
        <f>G7*(1+$O$6)</f>
        <v>13.382255776000004</v>
      </c>
      <c r="I7" s="14">
        <f>H7*(1+$O$7)</f>
        <v>14.185191122560006</v>
      </c>
      <c r="J7" s="14">
        <f>I7*(1+$O$7)</f>
        <v>15.036302589913607</v>
      </c>
      <c r="K7" s="14">
        <f>J7*(1+$O$7)</f>
        <v>15.938480745308425</v>
      </c>
      <c r="L7" s="14">
        <f>K7*(1+$O$7)</f>
        <v>16.894789590026932</v>
      </c>
      <c r="M7" s="14">
        <f>L7*(1+$O$7)</f>
        <v>17.908476965428548</v>
      </c>
      <c r="N7" s="14">
        <f>L7*O9</f>
        <v>253.42184385040397</v>
      </c>
      <c r="O7" s="13">
        <v>0.06</v>
      </c>
      <c r="P7" s="15" t="s">
        <v>5</v>
      </c>
    </row>
    <row r="8" spans="1:16">
      <c r="B8" s="10"/>
      <c r="C8" s="16" t="str">
        <f>CONCATENATE("PV(",O8*100,"%)")</f>
        <v>PV(10%)</v>
      </c>
      <c r="D8" s="14">
        <f>D7*(1+$O$8)^($D$6-D6-1)*$C$5</f>
        <v>0</v>
      </c>
      <c r="E8" s="14">
        <f>E7*(1+$O$8)^($D$6-E6-1)*$C$5</f>
        <v>0</v>
      </c>
      <c r="F8" s="14">
        <f>F7*(1+$O$8)^($D$6-F6-1)*$C$5</f>
        <v>0</v>
      </c>
      <c r="G8" s="14">
        <f>G7*(1+$O$8)^($D$6-G6-1)*$C$5</f>
        <v>0</v>
      </c>
      <c r="H8" s="14">
        <f>H7*(1+$O$8)^($D$6-H6-1)*$C$5</f>
        <v>0</v>
      </c>
      <c r="I8" s="14">
        <f>I7*(1+$O$8)^($D$6-I6-1)*$C$5</f>
        <v>0</v>
      </c>
      <c r="J8" s="14">
        <f>J7*(1+$O$8)^($D$6-J6-1)*$C$5</f>
        <v>0</v>
      </c>
      <c r="K8" s="14">
        <f>K7*(1+$O$8)^($D$6-K6-1)*$C$5</f>
        <v>0</v>
      </c>
      <c r="L8" s="14">
        <f>L7*(1+$O$8)^($D$6-L6-1)*$C$5</f>
        <v>0</v>
      </c>
      <c r="M8" s="14">
        <f>M7*(1+$O$8)^($D$6-M6-1)*$C$5</f>
        <v>0</v>
      </c>
      <c r="N8" s="14">
        <f>N7*(1+$O$8)^($D$6-N6-1)</f>
        <v>97.705091291381834</v>
      </c>
      <c r="O8" s="13">
        <v>0.1</v>
      </c>
      <c r="P8" s="7" t="s">
        <v>6</v>
      </c>
    </row>
    <row r="9" spans="1:16" ht="17" thickBot="1">
      <c r="B9" s="10"/>
      <c r="C9" s="17" t="s">
        <v>7</v>
      </c>
      <c r="D9" s="18">
        <f>SUM(D8:N8)</f>
        <v>97.705091291381834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34">
        <v>15</v>
      </c>
      <c r="P9" s="7" t="s">
        <v>8</v>
      </c>
    </row>
    <row r="10" spans="1:16">
      <c r="B10" s="10"/>
      <c r="P10" s="7"/>
    </row>
    <row r="11" spans="1:16" ht="30" thickBot="1">
      <c r="B11" s="10"/>
      <c r="N11" s="8" t="s">
        <v>0</v>
      </c>
      <c r="O11" s="9" t="s">
        <v>1</v>
      </c>
      <c r="P11" s="7"/>
    </row>
    <row r="12" spans="1:16">
      <c r="B12" s="10" t="s">
        <v>9</v>
      </c>
      <c r="C12" s="11" t="str">
        <f>C6</f>
        <v>Owner's Earning</v>
      </c>
      <c r="D12" s="12">
        <f>D6</f>
        <v>2025</v>
      </c>
      <c r="E12" s="12">
        <f t="shared" ref="E12:M12" si="1">D12+1</f>
        <v>2026</v>
      </c>
      <c r="F12" s="12">
        <f t="shared" si="1"/>
        <v>2027</v>
      </c>
      <c r="G12" s="12">
        <f t="shared" si="1"/>
        <v>2028</v>
      </c>
      <c r="H12" s="12">
        <f t="shared" si="1"/>
        <v>2029</v>
      </c>
      <c r="I12" s="12">
        <f t="shared" si="1"/>
        <v>2030</v>
      </c>
      <c r="J12" s="12">
        <f t="shared" si="1"/>
        <v>2031</v>
      </c>
      <c r="K12" s="12">
        <f t="shared" si="1"/>
        <v>2032</v>
      </c>
      <c r="L12" s="12">
        <f t="shared" si="1"/>
        <v>2033</v>
      </c>
      <c r="M12" s="12">
        <f t="shared" si="1"/>
        <v>2034</v>
      </c>
      <c r="N12" s="12">
        <f>N6</f>
        <v>2034</v>
      </c>
      <c r="O12" s="13">
        <v>0.08</v>
      </c>
      <c r="P12" s="7" t="s">
        <v>3</v>
      </c>
    </row>
    <row r="13" spans="1:16">
      <c r="B13" s="10" t="s">
        <v>10</v>
      </c>
      <c r="C13" s="32">
        <f>C7</f>
        <v>10</v>
      </c>
      <c r="D13" s="14">
        <f>C13*(1+$O$12)</f>
        <v>10.8</v>
      </c>
      <c r="E13" s="14">
        <f>D13*(1+$O$12)</f>
        <v>11.664000000000001</v>
      </c>
      <c r="F13" s="14">
        <f>E13*(1+$O$12)</f>
        <v>12.597120000000002</v>
      </c>
      <c r="G13" s="14">
        <f>F13*(1+$O$12)</f>
        <v>13.604889600000003</v>
      </c>
      <c r="H13" s="14">
        <f>G13*(1+$O$12)</f>
        <v>14.693280768000005</v>
      </c>
      <c r="I13" s="14">
        <f>H13*(1+$O$13)</f>
        <v>15.868743229440007</v>
      </c>
      <c r="J13" s="14">
        <f>I13*(1+$O$13)</f>
        <v>17.138242687795209</v>
      </c>
      <c r="K13" s="14">
        <f>J13*(1+$O$13)</f>
        <v>18.509302102818829</v>
      </c>
      <c r="L13" s="14">
        <f>K13*(1+$O$13)</f>
        <v>19.990046271044335</v>
      </c>
      <c r="M13" s="14">
        <f>L13*(1+$O$13)</f>
        <v>21.589249972727885</v>
      </c>
      <c r="N13" s="14">
        <f>L13*O15</f>
        <v>499.75115677610836</v>
      </c>
      <c r="O13" s="13">
        <v>0.08</v>
      </c>
      <c r="P13" s="15" t="s">
        <v>5</v>
      </c>
    </row>
    <row r="14" spans="1:16">
      <c r="B14" s="10" t="s">
        <v>35</v>
      </c>
      <c r="C14" s="16" t="str">
        <f>CONCATENATE("PV(",O14*100,"%)")</f>
        <v>PV(10%)</v>
      </c>
      <c r="D14" s="14">
        <f>D13*(1+$O$14)^($D$12-D12-1)*$C$5</f>
        <v>0</v>
      </c>
      <c r="E14" s="14">
        <f>E13*(1+$O$14)^($D$12-E12-1)*$C$5</f>
        <v>0</v>
      </c>
      <c r="F14" s="14">
        <f>F13*(1+$O$14)^($D$12-F12-1)*$C$5</f>
        <v>0</v>
      </c>
      <c r="G14" s="14">
        <f>G13*(1+$O$14)^($D$12-G12-1)*$C$5</f>
        <v>0</v>
      </c>
      <c r="H14" s="14">
        <f>H13*(1+$O$14)^($D$12-H12-1)*$C$5</f>
        <v>0</v>
      </c>
      <c r="I14" s="14">
        <f>I13*(1+$O$14)^($D$12-I12-1)*$C$5</f>
        <v>0</v>
      </c>
      <c r="J14" s="14">
        <f>J13*(1+$O$14)^($D$12-J12-1)*$C$5</f>
        <v>0</v>
      </c>
      <c r="K14" s="14">
        <f>K13*(1+$O$14)^($D$12-K12-1)*$C$5</f>
        <v>0</v>
      </c>
      <c r="L14" s="14">
        <f>L13*(1+$O$14)^($D$12-L12-1)*$C$5</f>
        <v>0</v>
      </c>
      <c r="M14" s="14">
        <f>M13*(1+$O$14)^($D$12-M12-1)*$C$5</f>
        <v>0</v>
      </c>
      <c r="N14" s="14">
        <f>N13*(1+$O$8)^($D$6-N12-1)</f>
        <v>192.6757048796743</v>
      </c>
      <c r="O14" s="13">
        <f>O8</f>
        <v>0.1</v>
      </c>
      <c r="P14" s="7" t="s">
        <v>6</v>
      </c>
    </row>
    <row r="15" spans="1:16" ht="17" thickBot="1">
      <c r="B15" s="10"/>
      <c r="C15" s="17" t="s">
        <v>11</v>
      </c>
      <c r="D15" s="18">
        <f>SUM(D14:N14)</f>
        <v>192.6757048796743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34">
        <v>25</v>
      </c>
      <c r="P15" s="7" t="s">
        <v>8</v>
      </c>
    </row>
    <row r="16" spans="1:16">
      <c r="B16" s="10"/>
      <c r="P16" s="7"/>
    </row>
    <row r="17" spans="2:16" ht="30" thickBot="1">
      <c r="B17" s="10"/>
      <c r="N17" s="8" t="s">
        <v>0</v>
      </c>
      <c r="O17" s="9" t="s">
        <v>1</v>
      </c>
      <c r="P17" s="7"/>
    </row>
    <row r="18" spans="2:16">
      <c r="B18" s="10" t="s">
        <v>12</v>
      </c>
      <c r="C18" s="11" t="str">
        <f>C12</f>
        <v>Owner's Earning</v>
      </c>
      <c r="D18" s="12">
        <f>D12</f>
        <v>2025</v>
      </c>
      <c r="E18" s="12">
        <f t="shared" ref="E18:M18" si="2">D18+1</f>
        <v>2026</v>
      </c>
      <c r="F18" s="12">
        <f t="shared" si="2"/>
        <v>2027</v>
      </c>
      <c r="G18" s="12">
        <f t="shared" si="2"/>
        <v>2028</v>
      </c>
      <c r="H18" s="12">
        <f t="shared" si="2"/>
        <v>2029</v>
      </c>
      <c r="I18" s="12">
        <f t="shared" si="2"/>
        <v>2030</v>
      </c>
      <c r="J18" s="12">
        <f t="shared" si="2"/>
        <v>2031</v>
      </c>
      <c r="K18" s="12">
        <f t="shared" si="2"/>
        <v>2032</v>
      </c>
      <c r="L18" s="12">
        <f t="shared" si="2"/>
        <v>2033</v>
      </c>
      <c r="M18" s="12">
        <f t="shared" si="2"/>
        <v>2034</v>
      </c>
      <c r="N18" s="12">
        <f>N12</f>
        <v>2034</v>
      </c>
      <c r="O18" s="13">
        <v>0.05</v>
      </c>
      <c r="P18" s="7" t="s">
        <v>3</v>
      </c>
    </row>
    <row r="19" spans="2:16">
      <c r="B19" s="10" t="s">
        <v>13</v>
      </c>
      <c r="C19" s="32">
        <f>C13</f>
        <v>10</v>
      </c>
      <c r="D19" s="14">
        <f>C19*(1+$O$18)</f>
        <v>10.5</v>
      </c>
      <c r="E19" s="14">
        <f>D19*(1+$O$18)</f>
        <v>11.025</v>
      </c>
      <c r="F19" s="14">
        <f>E19*(1+$O$18)</f>
        <v>11.576250000000002</v>
      </c>
      <c r="G19" s="14">
        <f>F19*(1+$O$18)</f>
        <v>12.155062500000001</v>
      </c>
      <c r="H19" s="14">
        <f>G19*(1+$O$18)</f>
        <v>12.762815625000002</v>
      </c>
      <c r="I19" s="14">
        <f>H19*(1+$O$19)</f>
        <v>13.400956406250003</v>
      </c>
      <c r="J19" s="14">
        <f>I19*(1+$O$19)</f>
        <v>14.071004226562504</v>
      </c>
      <c r="K19" s="14">
        <f>J19*(1+$O$19)</f>
        <v>14.774554437890631</v>
      </c>
      <c r="L19" s="14">
        <f>K19*(1+$O$19)</f>
        <v>15.513282159785163</v>
      </c>
      <c r="M19" s="14">
        <f>L19*(1+$O$19)</f>
        <v>16.288946267774421</v>
      </c>
      <c r="N19" s="14">
        <f>L19*O21</f>
        <v>186.15938591742196</v>
      </c>
      <c r="O19" s="13">
        <v>0.05</v>
      </c>
      <c r="P19" s="15" t="s">
        <v>5</v>
      </c>
    </row>
    <row r="20" spans="2:16">
      <c r="B20" s="10" t="s">
        <v>23</v>
      </c>
      <c r="C20" s="16" t="str">
        <f>CONCATENATE("PV(",O20*100,"%)")</f>
        <v>PV(10%)</v>
      </c>
      <c r="D20" s="14">
        <f>D19*(1+$O$20)^($D$18-D18-1)*$C$5</f>
        <v>0</v>
      </c>
      <c r="E20" s="14">
        <f>E19*(1+$O$20)^($D$18-E18-1)*$C$5</f>
        <v>0</v>
      </c>
      <c r="F20" s="14">
        <f>F19*(1+$O$20)^($D$18-F18-1)*$C$5</f>
        <v>0</v>
      </c>
      <c r="G20" s="14">
        <f>G19*(1+$O$20)^($D$18-G18-1)*$C$5</f>
        <v>0</v>
      </c>
      <c r="H20" s="14">
        <f>H19*(1+$O$20)^($D$18-H18-1)*$C$5</f>
        <v>0</v>
      </c>
      <c r="I20" s="14">
        <f>I19*(1+$O$20)^($D$18-I18-1)*$C$5</f>
        <v>0</v>
      </c>
      <c r="J20" s="14">
        <f>J19*(1+$O$20)^($D$18-J18-1)*$C$5</f>
        <v>0</v>
      </c>
      <c r="K20" s="14">
        <f>K19*(1+$O$20)^($D$18-K18-1)*$C$5</f>
        <v>0</v>
      </c>
      <c r="L20" s="14">
        <f>L19*(1+$O$20)^($D$18-L18-1)*$C$5</f>
        <v>0</v>
      </c>
      <c r="M20" s="14">
        <f>M19*(1+$O$20)^($D$18-M18-1)*$C$5</f>
        <v>0</v>
      </c>
      <c r="N20" s="14">
        <f t="shared" ref="N20" si="3">N19*(1+$O$20)^($D$18-N18-1)</f>
        <v>71.772502004784457</v>
      </c>
      <c r="O20" s="13">
        <f>O14</f>
        <v>0.1</v>
      </c>
      <c r="P20" s="7" t="s">
        <v>6</v>
      </c>
    </row>
    <row r="21" spans="2:16" ht="17" thickBot="1">
      <c r="B21" s="10"/>
      <c r="C21" s="17" t="s">
        <v>11</v>
      </c>
      <c r="D21" s="18">
        <f>SUM(D20:N20)</f>
        <v>71.772502004784457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34">
        <v>12</v>
      </c>
      <c r="P21" s="7" t="s">
        <v>8</v>
      </c>
    </row>
    <row r="22" spans="2:16" ht="17" thickBot="1">
      <c r="B22" s="10"/>
      <c r="P22" s="7"/>
    </row>
    <row r="23" spans="2:16" ht="17" thickBot="1">
      <c r="B23" s="10"/>
      <c r="C23" s="20" t="s">
        <v>14</v>
      </c>
      <c r="D23" s="21" t="s">
        <v>15</v>
      </c>
      <c r="E23" s="21" t="s">
        <v>16</v>
      </c>
      <c r="F23" s="22" t="s">
        <v>17</v>
      </c>
      <c r="I23" s="37" t="s">
        <v>25</v>
      </c>
      <c r="P23" s="7"/>
    </row>
    <row r="24" spans="2:16">
      <c r="B24" s="10"/>
      <c r="C24" s="10" t="s">
        <v>18</v>
      </c>
      <c r="D24" s="36">
        <v>0.33</v>
      </c>
      <c r="E24" s="14">
        <f>D9</f>
        <v>97.705091291381834</v>
      </c>
      <c r="F24" s="23">
        <f>E24*D24</f>
        <v>32.24268012615601</v>
      </c>
      <c r="I24" t="s">
        <v>26</v>
      </c>
      <c r="P24" s="7"/>
    </row>
    <row r="25" spans="2:16">
      <c r="B25" s="10"/>
      <c r="C25" s="10" t="s">
        <v>19</v>
      </c>
      <c r="D25" s="36">
        <v>0.34</v>
      </c>
      <c r="E25" s="14">
        <f>D15</f>
        <v>192.6757048796743</v>
      </c>
      <c r="F25" s="23">
        <f>E25*D25</f>
        <v>65.509739659089263</v>
      </c>
      <c r="I25" s="37" t="s">
        <v>27</v>
      </c>
      <c r="P25" s="7"/>
    </row>
    <row r="26" spans="2:16" ht="17" thickBot="1">
      <c r="B26" s="10"/>
      <c r="C26" s="24" t="s">
        <v>20</v>
      </c>
      <c r="D26" s="52">
        <v>0.33</v>
      </c>
      <c r="E26" s="25">
        <f>D21</f>
        <v>71.772502004784457</v>
      </c>
      <c r="F26" s="26">
        <f>E26*D26</f>
        <v>23.684925661578873</v>
      </c>
      <c r="P26" s="7"/>
    </row>
    <row r="27" spans="2:16" ht="17" thickBot="1">
      <c r="B27" s="10"/>
      <c r="C27" s="50" t="s">
        <v>24</v>
      </c>
      <c r="D27" s="51">
        <f>C3</f>
        <v>100</v>
      </c>
      <c r="E27" s="27" t="s">
        <v>21</v>
      </c>
      <c r="F27" s="28">
        <f>SUM(F24:F26)</f>
        <v>121.43734544682415</v>
      </c>
      <c r="P27" s="7"/>
    </row>
    <row r="28" spans="2:16">
      <c r="B28" s="10"/>
      <c r="P28" s="7"/>
    </row>
    <row r="29" spans="2:16">
      <c r="B29" s="33" t="s">
        <v>22</v>
      </c>
      <c r="P29" s="7"/>
    </row>
    <row r="30" spans="2:16">
      <c r="B30" s="10"/>
      <c r="P30" s="7"/>
    </row>
    <row r="31" spans="2:16" ht="17" thickBot="1">
      <c r="B31" s="24"/>
      <c r="C31" s="29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1"/>
    </row>
  </sheetData>
  <conditionalFormatting sqref="D4">
    <cfRule type="containsText" dxfId="1" priority="1" operator="containsText" text="overvalued">
      <formula>NOT(ISERROR(SEARCH("overvalued",D4)))</formula>
    </cfRule>
    <cfRule type="containsText" dxfId="0" priority="2" operator="containsText" text="undervalued">
      <formula>NOT(ISERROR(SEARCH("undervalued",D4)))</formula>
    </cfRule>
  </conditionalFormatting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1D9DB-4203-854E-AE74-4284527EA313}">
  <dimension ref="A1:G19"/>
  <sheetViews>
    <sheetView workbookViewId="0">
      <selection sqref="A1:G21"/>
    </sheetView>
  </sheetViews>
  <sheetFormatPr baseColWidth="10" defaultRowHeight="16"/>
  <cols>
    <col min="1" max="1" width="45.5" customWidth="1"/>
    <col min="2" max="2" width="14.33203125" bestFit="1" customWidth="1"/>
    <col min="6" max="6" width="20.1640625" customWidth="1"/>
    <col min="7" max="7" width="23.1640625" customWidth="1"/>
  </cols>
  <sheetData>
    <row r="1" spans="1:7" ht="17" thickBot="1">
      <c r="A1" s="53"/>
      <c r="B1" s="53"/>
      <c r="F1" s="54" t="s">
        <v>37</v>
      </c>
      <c r="G1" s="55" t="s">
        <v>38</v>
      </c>
    </row>
    <row r="2" spans="1:7" ht="17" thickBot="1">
      <c r="A2" s="53" t="s">
        <v>39</v>
      </c>
      <c r="B2" s="56">
        <v>1047150</v>
      </c>
      <c r="F2" s="57" t="s">
        <v>40</v>
      </c>
      <c r="G2" s="58">
        <v>0.12</v>
      </c>
    </row>
    <row r="3" spans="1:7">
      <c r="A3" s="53"/>
      <c r="B3" s="53"/>
      <c r="F3" s="57" t="s">
        <v>41</v>
      </c>
      <c r="G3" s="58">
        <v>0.09</v>
      </c>
    </row>
    <row r="4" spans="1:7">
      <c r="A4" s="59" t="s">
        <v>42</v>
      </c>
      <c r="B4" s="53"/>
      <c r="F4" s="57" t="s">
        <v>43</v>
      </c>
      <c r="G4" s="58">
        <v>0.08</v>
      </c>
    </row>
    <row r="5" spans="1:7">
      <c r="A5" s="53" t="s">
        <v>44</v>
      </c>
      <c r="B5" s="60" t="s">
        <v>43</v>
      </c>
      <c r="F5" s="57" t="s">
        <v>45</v>
      </c>
      <c r="G5" s="58">
        <v>7.0000000000000007E-2</v>
      </c>
    </row>
    <row r="6" spans="1:7">
      <c r="A6" s="57" t="s">
        <v>46</v>
      </c>
      <c r="B6" s="61">
        <f>VLOOKUP(B5,F2:G7,2)</f>
        <v>0.08</v>
      </c>
      <c r="C6" s="62"/>
      <c r="F6" s="57" t="s">
        <v>47</v>
      </c>
      <c r="G6" s="58">
        <v>0.06</v>
      </c>
    </row>
    <row r="7" spans="1:7">
      <c r="A7" s="57" t="s">
        <v>48</v>
      </c>
      <c r="B7" s="63">
        <v>2.5000000000000001E-2</v>
      </c>
      <c r="F7" s="57" t="s">
        <v>49</v>
      </c>
      <c r="G7" s="64">
        <v>0.1</v>
      </c>
    </row>
    <row r="8" spans="1:7">
      <c r="A8" s="57" t="s">
        <v>50</v>
      </c>
      <c r="B8" s="63">
        <v>0.04</v>
      </c>
      <c r="F8" s="53"/>
      <c r="G8" s="65"/>
    </row>
    <row r="9" spans="1:7">
      <c r="A9" s="53"/>
      <c r="B9" s="53"/>
      <c r="F9" s="53"/>
      <c r="G9" s="65"/>
    </row>
    <row r="10" spans="1:7">
      <c r="A10" s="59" t="s">
        <v>51</v>
      </c>
      <c r="B10" s="53"/>
      <c r="F10" s="53"/>
      <c r="G10" s="65"/>
    </row>
    <row r="11" spans="1:7">
      <c r="A11" s="57" t="s">
        <v>52</v>
      </c>
      <c r="B11" s="63">
        <v>0.182</v>
      </c>
      <c r="F11" s="53"/>
      <c r="G11" s="65"/>
    </row>
    <row r="12" spans="1:7">
      <c r="A12" s="57" t="s">
        <v>53</v>
      </c>
      <c r="B12" s="63">
        <v>0.1104</v>
      </c>
      <c r="F12" s="53"/>
      <c r="G12" s="65"/>
    </row>
    <row r="13" spans="1:7" ht="17" thickBot="1">
      <c r="A13" s="53"/>
      <c r="B13" s="53"/>
      <c r="F13" s="53"/>
      <c r="G13" s="65"/>
    </row>
    <row r="14" spans="1:7" ht="17" thickBot="1">
      <c r="A14" s="53" t="s">
        <v>54</v>
      </c>
      <c r="B14" s="66">
        <f>B2/(B11*(1+B8)*(1-B8/B12)/(B6-B8))</f>
        <v>347024.85014985013</v>
      </c>
      <c r="F14" s="53"/>
      <c r="G14" s="65"/>
    </row>
    <row r="15" spans="1:7">
      <c r="A15" s="53"/>
      <c r="B15" s="67"/>
      <c r="F15" s="53"/>
      <c r="G15" s="65"/>
    </row>
    <row r="16" spans="1:7">
      <c r="A16" s="53" t="s">
        <v>55</v>
      </c>
      <c r="B16" s="67"/>
      <c r="F16" s="53"/>
      <c r="G16" s="65"/>
    </row>
    <row r="17" spans="1:7">
      <c r="A17" s="57" t="s">
        <v>56</v>
      </c>
      <c r="B17" s="68">
        <v>5</v>
      </c>
      <c r="F17" s="53"/>
      <c r="G17" s="65"/>
    </row>
    <row r="18" spans="1:7" ht="17" thickBot="1">
      <c r="A18" s="57" t="s">
        <v>57</v>
      </c>
      <c r="B18" s="69">
        <v>0.02</v>
      </c>
      <c r="F18" s="53"/>
      <c r="G18" s="65"/>
    </row>
    <row r="19" spans="1:7" ht="17" thickBot="1">
      <c r="A19" s="70" t="s">
        <v>58</v>
      </c>
      <c r="B19" s="71">
        <f>B14*(1+B6-B18)^B17</f>
        <v>464397.5305333368</v>
      </c>
      <c r="E19" t="s">
        <v>60</v>
      </c>
      <c r="F19" s="53" t="s">
        <v>59</v>
      </c>
      <c r="G19" s="65"/>
    </row>
  </sheetData>
  <dataValidations count="1">
    <dataValidation type="list" allowBlank="1" showInputMessage="1" showErrorMessage="1" sqref="B5" xr:uid="{24DDCB95-E269-3145-9BDA-FA770BA98D42}">
      <formula1>$F$2:$F$7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BRK</vt:lpstr>
      <vt:lpstr>DCF Template</vt:lpstr>
      <vt:lpstr>Invert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Bhatia, Rishabh</dc:creator>
  <cp:lastModifiedBy>Bhatia, Rishabh</cp:lastModifiedBy>
  <dcterms:created xsi:type="dcterms:W3CDTF">2026-01-20T22:11:05Z</dcterms:created>
  <dcterms:modified xsi:type="dcterms:W3CDTF">2026-01-21T22:31:09Z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2026-01-20T22:20:25Z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1a294268-1135-4a0b-89de-a3d50523c556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