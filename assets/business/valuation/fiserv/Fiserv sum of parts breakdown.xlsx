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shabh/Downloads/Fiserv/"/>
    </mc:Choice>
  </mc:AlternateContent>
  <xr:revisionPtr revIDLastSave="0" documentId="13_ncr:1_{FD980B31-F376-4A46-AB9F-BD5E8553B8E7}" xr6:coauthVersionLast="47" xr6:coauthVersionMax="47" xr10:uidLastSave="{00000000-0000-0000-0000-000000000000}"/>
  <bookViews>
    <workbookView xWindow="0" yWindow="660" windowWidth="30240" windowHeight="17200" xr2:uid="{80C8B312-F43D-4244-B221-97395DDA7E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11" i="1"/>
  <c r="I10" i="1"/>
  <c r="I6" i="1"/>
  <c r="H11" i="1"/>
  <c r="H10" i="1"/>
  <c r="E12" i="1"/>
  <c r="G12" i="1"/>
  <c r="D6" i="1"/>
  <c r="D4" i="1"/>
  <c r="D5" i="1"/>
  <c r="D7" i="1"/>
  <c r="D8" i="1"/>
  <c r="D9" i="1"/>
  <c r="D10" i="1"/>
  <c r="D11" i="1"/>
  <c r="D12" i="1"/>
  <c r="D3" i="1"/>
  <c r="E6" i="1" l="1"/>
  <c r="E10" i="1"/>
  <c r="E11" i="1"/>
  <c r="G6" i="1"/>
  <c r="G10" i="1"/>
  <c r="G11" i="1"/>
  <c r="H12" i="1" l="1"/>
  <c r="I12" i="1" s="1"/>
</calcChain>
</file>

<file path=xl/sharedStrings.xml><?xml version="1.0" encoding="utf-8"?>
<sst xmlns="http://schemas.openxmlformats.org/spreadsheetml/2006/main" count="24" uniqueCount="21">
  <si>
    <t>(In millions)</t>
  </si>
  <si>
    <t>Small Business</t>
  </si>
  <si>
    <t>Enterprise</t>
  </si>
  <si>
    <t>Processing</t>
  </si>
  <si>
    <t>Digital Payments</t>
  </si>
  <si>
    <t>Issuing</t>
  </si>
  <si>
    <t>Banking</t>
  </si>
  <si>
    <t>Corporate and Other</t>
  </si>
  <si>
    <t>LTM - Q3 2025</t>
  </si>
  <si>
    <t>3M - 2025</t>
  </si>
  <si>
    <t>9M - 2025</t>
  </si>
  <si>
    <t>Revenue</t>
  </si>
  <si>
    <t>Total Merchant Solutions segment</t>
  </si>
  <si>
    <t>Total Financial Solutions segment</t>
  </si>
  <si>
    <t>Operating Earning</t>
  </si>
  <si>
    <t>Interest Expense</t>
  </si>
  <si>
    <t>Total</t>
  </si>
  <si>
    <t>Real Expenses marked as adjusted</t>
  </si>
  <si>
    <t>GAAP Operating Income LTM</t>
  </si>
  <si>
    <t xml:space="preserve"> Margin marked as adjusted</t>
  </si>
  <si>
    <t>Real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</si>
</sst>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71" formatCode="&quot;$&quot;#,##0.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color rgb="FF000000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6" fontId="0" fillId="0" borderId="0" xfId="0" applyNumberFormat="1"/>
    <xf numFmtId="3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1" fontId="0" fillId="0" borderId="0" xfId="0" applyNumberFormat="1"/>
    <xf numFmtId="0" fontId="3" fillId="0" borderId="0" xfId="0" applyFont="1" applyAlignment="1">
      <alignment horizontal="center" wrapText="1" shrinkToFit="1"/>
    </xf>
    <xf numFmtId="9" fontId="0" fillId="0" borderId="0" xfId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EC20-98FE-C94D-A402-F4F5DEC4D9F3}">
  <dimension ref="A1:P22"/>
  <sheetViews>
    <sheetView tabSelected="1" workbookViewId="0">
      <selection activeCell="H6" sqref="H6"/>
    </sheetView>
  </sheetViews>
  <sheetFormatPr baseColWidth="10" defaultRowHeight="16" x14ac:dyDescent="0.2"/>
  <cols>
    <col min="1" max="1" width="31.83203125" customWidth="1"/>
    <col min="2" max="2" width="11.33203125" customWidth="1"/>
    <col min="4" max="4" width="13.1640625" customWidth="1"/>
    <col min="5" max="6" width="14.6640625" customWidth="1"/>
    <col min="7" max="7" width="14.1640625" customWidth="1"/>
    <col min="8" max="8" width="18.6640625" customWidth="1"/>
    <col min="9" max="9" width="25.83203125" customWidth="1"/>
  </cols>
  <sheetData>
    <row r="1" spans="1:16" ht="51" x14ac:dyDescent="0.2">
      <c r="A1" t="s">
        <v>0</v>
      </c>
      <c r="B1" s="5" t="s">
        <v>11</v>
      </c>
      <c r="C1" s="5"/>
      <c r="D1" s="5"/>
      <c r="E1" s="8" t="s">
        <v>17</v>
      </c>
      <c r="F1" s="8" t="s">
        <v>19</v>
      </c>
      <c r="G1" s="6" t="s">
        <v>15</v>
      </c>
      <c r="H1" s="4" t="s">
        <v>14</v>
      </c>
      <c r="I1" s="6" t="s">
        <v>20</v>
      </c>
      <c r="J1" s="6"/>
    </row>
    <row r="2" spans="1:16" x14ac:dyDescent="0.2">
      <c r="B2" s="4" t="s">
        <v>9</v>
      </c>
      <c r="C2" s="4" t="s">
        <v>10</v>
      </c>
      <c r="D2" s="4" t="s">
        <v>8</v>
      </c>
      <c r="E2" s="4" t="s">
        <v>8</v>
      </c>
      <c r="F2" s="4"/>
      <c r="G2" s="4" t="s">
        <v>8</v>
      </c>
      <c r="H2" s="4" t="s">
        <v>8</v>
      </c>
    </row>
    <row r="3" spans="1:16" x14ac:dyDescent="0.2">
      <c r="A3" t="s">
        <v>1</v>
      </c>
      <c r="B3" s="2">
        <v>1741</v>
      </c>
      <c r="C3" s="2">
        <v>5109</v>
      </c>
      <c r="D3" s="2">
        <f>B3+C3</f>
        <v>6850</v>
      </c>
      <c r="E3" s="2"/>
      <c r="F3" s="2"/>
      <c r="G3" s="2"/>
      <c r="I3" s="7"/>
      <c r="N3" s="2"/>
      <c r="O3" s="2"/>
      <c r="P3" s="2"/>
    </row>
    <row r="4" spans="1:16" x14ac:dyDescent="0.2">
      <c r="A4" t="s">
        <v>2</v>
      </c>
      <c r="B4">
        <v>580</v>
      </c>
      <c r="C4" s="3">
        <v>1669</v>
      </c>
      <c r="D4" s="2">
        <f>B4+C4</f>
        <v>2249</v>
      </c>
      <c r="E4" s="2"/>
      <c r="F4" s="2"/>
      <c r="G4" s="2"/>
      <c r="I4" s="7"/>
      <c r="N4" s="3"/>
      <c r="P4" s="2"/>
    </row>
    <row r="5" spans="1:16" x14ac:dyDescent="0.2">
      <c r="A5" t="s">
        <v>3</v>
      </c>
      <c r="B5">
        <v>265</v>
      </c>
      <c r="C5">
        <v>824</v>
      </c>
      <c r="D5" s="2">
        <f>B5+C5</f>
        <v>1089</v>
      </c>
      <c r="E5" s="2"/>
      <c r="F5" s="2"/>
      <c r="G5" s="2"/>
      <c r="I5" s="7"/>
      <c r="P5" s="2"/>
    </row>
    <row r="6" spans="1:16" x14ac:dyDescent="0.2">
      <c r="A6" s="4" t="s">
        <v>12</v>
      </c>
      <c r="B6" s="2">
        <v>2586</v>
      </c>
      <c r="C6" s="2">
        <v>7602</v>
      </c>
      <c r="D6" s="2">
        <f>B6+C6</f>
        <v>10188</v>
      </c>
      <c r="E6" s="2">
        <f>D6/D12*1599</f>
        <v>769.44133761571891</v>
      </c>
      <c r="F6" s="9">
        <v>0.35299999999999998</v>
      </c>
      <c r="G6" s="7">
        <f>D6/D12*1697</f>
        <v>816.59909314188553</v>
      </c>
      <c r="H6" s="2">
        <f>(D6*F6)*(1-0.184) - G6-E6</f>
        <v>1348.5925932423952</v>
      </c>
      <c r="I6" s="10">
        <f>H6/D6</f>
        <v>0.13237069034573962</v>
      </c>
      <c r="N6" s="2"/>
      <c r="O6" s="2"/>
      <c r="P6" s="2"/>
    </row>
    <row r="7" spans="1:16" x14ac:dyDescent="0.2">
      <c r="A7" t="s">
        <v>4</v>
      </c>
      <c r="B7" s="2">
        <v>939</v>
      </c>
      <c r="C7" s="2">
        <v>2985</v>
      </c>
      <c r="D7" s="2">
        <f>B7+C7</f>
        <v>3924</v>
      </c>
      <c r="E7" s="2"/>
      <c r="F7" s="2"/>
      <c r="I7" s="7"/>
      <c r="N7" s="2"/>
      <c r="O7" s="2"/>
      <c r="P7" s="2"/>
    </row>
    <row r="8" spans="1:16" x14ac:dyDescent="0.2">
      <c r="A8" t="s">
        <v>5</v>
      </c>
      <c r="B8">
        <v>802</v>
      </c>
      <c r="C8" s="3">
        <v>2492</v>
      </c>
      <c r="D8" s="2">
        <f>B8+C8</f>
        <v>3294</v>
      </c>
      <c r="E8" s="2"/>
      <c r="F8" s="2"/>
      <c r="I8" s="7"/>
      <c r="N8" s="3"/>
      <c r="P8" s="2"/>
    </row>
    <row r="9" spans="1:16" x14ac:dyDescent="0.2">
      <c r="A9" t="s">
        <v>6</v>
      </c>
      <c r="B9">
        <v>592</v>
      </c>
      <c r="C9" s="3">
        <v>1825</v>
      </c>
      <c r="D9" s="2">
        <f>B9+C9</f>
        <v>2417</v>
      </c>
      <c r="E9" s="2"/>
      <c r="F9" s="2"/>
      <c r="I9" s="7"/>
      <c r="N9" s="3"/>
      <c r="P9" s="2"/>
    </row>
    <row r="10" spans="1:16" x14ac:dyDescent="0.2">
      <c r="A10" s="4" t="s">
        <v>13</v>
      </c>
      <c r="B10" s="2">
        <v>2333</v>
      </c>
      <c r="C10" s="2">
        <v>7302</v>
      </c>
      <c r="D10" s="2">
        <f>B10+C10</f>
        <v>9635</v>
      </c>
      <c r="E10" s="2">
        <f>D10/D12*1599</f>
        <v>727.67641224258455</v>
      </c>
      <c r="F10" s="9">
        <v>0.46300000000000002</v>
      </c>
      <c r="G10" s="2">
        <f>D10/D12*1697</f>
        <v>772.27446627621396</v>
      </c>
      <c r="H10" s="2">
        <f>(D10*F10)*(1-0.184)- G10-E10</f>
        <v>2140.2292014812019</v>
      </c>
      <c r="I10" s="10">
        <f>H10/D10</f>
        <v>0.22213069034573968</v>
      </c>
      <c r="N10" s="2"/>
      <c r="O10" s="2"/>
      <c r="P10" s="2"/>
    </row>
    <row r="11" spans="1:16" x14ac:dyDescent="0.2">
      <c r="A11" s="4" t="s">
        <v>7</v>
      </c>
      <c r="B11" s="2">
        <v>344</v>
      </c>
      <c r="C11" s="2">
        <v>1005</v>
      </c>
      <c r="D11" s="2">
        <f>B11+C11</f>
        <v>1349</v>
      </c>
      <c r="E11" s="2">
        <f>D11/D12*1599</f>
        <v>101.88225014169657</v>
      </c>
      <c r="F11" s="9">
        <v>0.16600000000000001</v>
      </c>
      <c r="G11" s="2">
        <f>D11/D12*1697</f>
        <v>108.12644058190062</v>
      </c>
      <c r="H11" s="2">
        <f>(D11*F11)*(1-0.184)-G11-E11</f>
        <v>-27.278546723597174</v>
      </c>
      <c r="I11" s="9">
        <f>H11/D11</f>
        <v>-2.0221309654260323E-2</v>
      </c>
      <c r="N11" s="2"/>
      <c r="O11" s="2"/>
      <c r="P11" s="2"/>
    </row>
    <row r="12" spans="1:16" x14ac:dyDescent="0.2">
      <c r="A12" s="4" t="s">
        <v>16</v>
      </c>
      <c r="B12" s="2">
        <v>5263</v>
      </c>
      <c r="C12" s="2">
        <v>15909</v>
      </c>
      <c r="D12" s="2">
        <f>B12+C12</f>
        <v>21172</v>
      </c>
      <c r="E12" s="2">
        <f>5689-4527+2105-1668</f>
        <v>1599</v>
      </c>
      <c r="F12" s="2"/>
      <c r="G12" s="2">
        <f>422+50+1118+107</f>
        <v>1697</v>
      </c>
      <c r="H12" s="2">
        <f>H11+H10+H6</f>
        <v>3461.5432479999999</v>
      </c>
      <c r="I12" s="9">
        <f>H12/D12</f>
        <v>0.1634962803703004</v>
      </c>
      <c r="N12" s="2"/>
      <c r="O12" s="2"/>
      <c r="P12" s="2"/>
    </row>
    <row r="14" spans="1:16" x14ac:dyDescent="0.2">
      <c r="A14" s="4" t="s">
        <v>18</v>
      </c>
      <c r="H14" s="2">
        <v>3462</v>
      </c>
    </row>
    <row r="22" spans="8:8" x14ac:dyDescent="0.2">
      <c r="H22" s="1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Rishabh</dc:creator>
  <cp:lastModifiedBy>Bhatia, Rishabh</cp:lastModifiedBy>
  <dcterms:created xsi:type="dcterms:W3CDTF">2026-02-06T14:38:12Z</dcterms:created>
  <dcterms:modified xsi:type="dcterms:W3CDTF">2026-02-06T15:40:04Z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2026-02-06T15:28:43Z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34a3da7f-a89f-4318-a633-b6ed005bc636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