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shabh/Downloads/"/>
    </mc:Choice>
  </mc:AlternateContent>
  <xr:revisionPtr revIDLastSave="0" documentId="13_ncr:1_{F78452C4-718D-6046-B56A-7C941A42BE9C}" xr6:coauthVersionLast="47" xr6:coauthVersionMax="47" xr10:uidLastSave="{00000000-0000-0000-0000-000000000000}"/>
  <bookViews>
    <workbookView xWindow="0" yWindow="660" windowWidth="30240" windowHeight="17000" activeTab="1" xr2:uid="{CD73A073-6F59-C94D-8268-42A325A7E6A8}"/>
  </bookViews>
  <sheets>
    <sheet name="Sheet1" sheetId="1" r:id="rId1"/>
    <sheet name="DCF Template" sheetId="2" r:id="rId2"/>
  </sheets>
  <calcPr calcId="181029" iterate="1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" l="1"/>
  <c r="O20" i="2"/>
  <c r="C20" i="2" s="1"/>
  <c r="N18" i="2"/>
  <c r="D18" i="2"/>
  <c r="E18" i="2" s="1"/>
  <c r="F18" i="2" s="1"/>
  <c r="G18" i="2" s="1"/>
  <c r="H18" i="2" s="1"/>
  <c r="I18" i="2" s="1"/>
  <c r="J18" i="2" s="1"/>
  <c r="K18" i="2" s="1"/>
  <c r="L18" i="2" s="1"/>
  <c r="M18" i="2" s="1"/>
  <c r="C18" i="2"/>
  <c r="O14" i="2"/>
  <c r="C14" i="2"/>
  <c r="C13" i="2"/>
  <c r="D13" i="2" s="1"/>
  <c r="N12" i="2"/>
  <c r="D12" i="2"/>
  <c r="E12" i="2" s="1"/>
  <c r="F12" i="2" s="1"/>
  <c r="G12" i="2" s="1"/>
  <c r="H12" i="2" s="1"/>
  <c r="I12" i="2" s="1"/>
  <c r="J12" i="2" s="1"/>
  <c r="K12" i="2" s="1"/>
  <c r="L12" i="2" s="1"/>
  <c r="M12" i="2" s="1"/>
  <c r="C12" i="2"/>
  <c r="C8" i="2"/>
  <c r="D7" i="2"/>
  <c r="E7" i="2" s="1"/>
  <c r="F6" i="2"/>
  <c r="G6" i="2" s="1"/>
  <c r="H6" i="2" s="1"/>
  <c r="I6" i="2" s="1"/>
  <c r="J6" i="2" s="1"/>
  <c r="K6" i="2" s="1"/>
  <c r="L6" i="2" s="1"/>
  <c r="M6" i="2" s="1"/>
  <c r="E6" i="2"/>
  <c r="D27" i="1"/>
  <c r="O14" i="1"/>
  <c r="O20" i="1" s="1"/>
  <c r="C20" i="1" s="1"/>
  <c r="C14" i="1"/>
  <c r="C13" i="1"/>
  <c r="D13" i="1" s="1"/>
  <c r="N12" i="1"/>
  <c r="N18" i="1" s="1"/>
  <c r="D12" i="1"/>
  <c r="E12" i="1" s="1"/>
  <c r="F12" i="1" s="1"/>
  <c r="G12" i="1" s="1"/>
  <c r="H12" i="1" s="1"/>
  <c r="I12" i="1" s="1"/>
  <c r="J12" i="1" s="1"/>
  <c r="K12" i="1" s="1"/>
  <c r="L12" i="1" s="1"/>
  <c r="M12" i="1" s="1"/>
  <c r="C12" i="1"/>
  <c r="C18" i="1" s="1"/>
  <c r="C8" i="1"/>
  <c r="D7" i="1"/>
  <c r="D8" i="1" s="1"/>
  <c r="E6" i="1"/>
  <c r="F6" i="1" s="1"/>
  <c r="G6" i="1" s="1"/>
  <c r="H6" i="1" s="1"/>
  <c r="I6" i="1" s="1"/>
  <c r="J6" i="1" s="1"/>
  <c r="K6" i="1" s="1"/>
  <c r="L6" i="1" s="1"/>
  <c r="M6" i="1" s="1"/>
  <c r="D8" i="2" l="1"/>
  <c r="C19" i="2"/>
  <c r="D19" i="2" s="1"/>
  <c r="D14" i="2"/>
  <c r="E13" i="2"/>
  <c r="E8" i="2"/>
  <c r="F7" i="2"/>
  <c r="D20" i="2"/>
  <c r="E19" i="2"/>
  <c r="D18" i="1"/>
  <c r="E18" i="1" s="1"/>
  <c r="F18" i="1" s="1"/>
  <c r="G18" i="1" s="1"/>
  <c r="H18" i="1" s="1"/>
  <c r="I18" i="1" s="1"/>
  <c r="J18" i="1" s="1"/>
  <c r="K18" i="1" s="1"/>
  <c r="L18" i="1" s="1"/>
  <c r="M18" i="1" s="1"/>
  <c r="C19" i="1"/>
  <c r="D19" i="1" s="1"/>
  <c r="D20" i="1" s="1"/>
  <c r="D14" i="1"/>
  <c r="E13" i="1"/>
  <c r="E7" i="1"/>
  <c r="F19" i="2" l="1"/>
  <c r="E20" i="2"/>
  <c r="F8" i="2"/>
  <c r="G7" i="2"/>
  <c r="F13" i="2"/>
  <c r="E14" i="2"/>
  <c r="E19" i="1"/>
  <c r="F7" i="1"/>
  <c r="E8" i="1"/>
  <c r="F19" i="1"/>
  <c r="E20" i="1"/>
  <c r="E14" i="1"/>
  <c r="F13" i="1"/>
  <c r="F20" i="2" l="1"/>
  <c r="G19" i="2"/>
  <c r="G8" i="2"/>
  <c r="H7" i="2"/>
  <c r="F14" i="2"/>
  <c r="G13" i="2"/>
  <c r="F14" i="1"/>
  <c r="G13" i="1"/>
  <c r="F20" i="1"/>
  <c r="G19" i="1"/>
  <c r="F8" i="1"/>
  <c r="G7" i="1"/>
  <c r="G14" i="2" l="1"/>
  <c r="H13" i="2"/>
  <c r="H8" i="2"/>
  <c r="I7" i="2"/>
  <c r="H19" i="2"/>
  <c r="G20" i="2"/>
  <c r="G8" i="1"/>
  <c r="H7" i="1"/>
  <c r="G20" i="1"/>
  <c r="H19" i="1"/>
  <c r="G14" i="1"/>
  <c r="H13" i="1"/>
  <c r="H20" i="2" l="1"/>
  <c r="I19" i="2"/>
  <c r="I8" i="2"/>
  <c r="J7" i="2"/>
  <c r="H14" i="2"/>
  <c r="I13" i="2"/>
  <c r="H8" i="1"/>
  <c r="I7" i="1"/>
  <c r="I13" i="1"/>
  <c r="H14" i="1"/>
  <c r="H20" i="1"/>
  <c r="I19" i="1"/>
  <c r="I20" i="2" l="1"/>
  <c r="J19" i="2"/>
  <c r="I14" i="2"/>
  <c r="J13" i="2"/>
  <c r="K7" i="2"/>
  <c r="J8" i="2"/>
  <c r="I14" i="1"/>
  <c r="J13" i="1"/>
  <c r="I20" i="1"/>
  <c r="J19" i="1"/>
  <c r="I8" i="1"/>
  <c r="J7" i="1"/>
  <c r="K8" i="2" l="1"/>
  <c r="L7" i="2"/>
  <c r="J14" i="2"/>
  <c r="K13" i="2"/>
  <c r="J20" i="2"/>
  <c r="K19" i="2"/>
  <c r="J20" i="1"/>
  <c r="K19" i="1"/>
  <c r="K7" i="1"/>
  <c r="J8" i="1"/>
  <c r="J14" i="1"/>
  <c r="K13" i="1"/>
  <c r="K20" i="2" l="1"/>
  <c r="L19" i="2"/>
  <c r="K14" i="2"/>
  <c r="L13" i="2"/>
  <c r="L8" i="2"/>
  <c r="N7" i="2"/>
  <c r="N8" i="2" s="1"/>
  <c r="M7" i="2"/>
  <c r="M8" i="2" s="1"/>
  <c r="L7" i="1"/>
  <c r="K8" i="1"/>
  <c r="K20" i="1"/>
  <c r="L19" i="1"/>
  <c r="K14" i="1"/>
  <c r="L13" i="1"/>
  <c r="L14" i="2" l="1"/>
  <c r="N13" i="2"/>
  <c r="N14" i="2" s="1"/>
  <c r="M13" i="2"/>
  <c r="M14" i="2" s="1"/>
  <c r="L20" i="2"/>
  <c r="N19" i="2"/>
  <c r="N20" i="2" s="1"/>
  <c r="M19" i="2"/>
  <c r="M20" i="2" s="1"/>
  <c r="D9" i="2"/>
  <c r="E24" i="2" s="1"/>
  <c r="F24" i="2" s="1"/>
  <c r="L20" i="1"/>
  <c r="N19" i="1"/>
  <c r="N20" i="1" s="1"/>
  <c r="M19" i="1"/>
  <c r="M20" i="1" s="1"/>
  <c r="L8" i="1"/>
  <c r="M7" i="1"/>
  <c r="M8" i="1" s="1"/>
  <c r="N7" i="1"/>
  <c r="N8" i="1" s="1"/>
  <c r="L14" i="1"/>
  <c r="N13" i="1"/>
  <c r="N14" i="1" s="1"/>
  <c r="M13" i="1"/>
  <c r="M14" i="1" s="1"/>
  <c r="D21" i="2" l="1"/>
  <c r="E26" i="2" s="1"/>
  <c r="F26" i="2" s="1"/>
  <c r="D15" i="2"/>
  <c r="E25" i="2" s="1"/>
  <c r="F25" i="2" s="1"/>
  <c r="F27" i="2" s="1"/>
  <c r="D9" i="1"/>
  <c r="E24" i="1" s="1"/>
  <c r="F24" i="1" s="1"/>
  <c r="D15" i="1"/>
  <c r="E25" i="1" s="1"/>
  <c r="F25" i="1" s="1"/>
  <c r="D21" i="1"/>
  <c r="E26" i="1" s="1"/>
  <c r="F26" i="1" s="1"/>
  <c r="F27" i="1" l="1"/>
</calcChain>
</file>

<file path=xl/sharedStrings.xml><?xml version="1.0" encoding="utf-8"?>
<sst xmlns="http://schemas.openxmlformats.org/spreadsheetml/2006/main" count="92" uniqueCount="34">
  <si>
    <t>Terminal 
Value</t>
  </si>
  <si>
    <t>Growth rate</t>
  </si>
  <si>
    <t>Scenario 1</t>
  </si>
  <si>
    <t>next 5 years</t>
  </si>
  <si>
    <t>normal case</t>
  </si>
  <si>
    <t>5 to 10 years</t>
  </si>
  <si>
    <t>Discount rate</t>
  </si>
  <si>
    <t>INTRINSIC VALUE</t>
  </si>
  <si>
    <t>Terminal multiple</t>
  </si>
  <si>
    <t>Scenario 2</t>
  </si>
  <si>
    <t>best case</t>
  </si>
  <si>
    <t>Present value sum</t>
  </si>
  <si>
    <t>Scenario 3</t>
  </si>
  <si>
    <t>worst case</t>
  </si>
  <si>
    <t xml:space="preserve">Scenario </t>
  </si>
  <si>
    <t>Probability</t>
  </si>
  <si>
    <t>PV</t>
  </si>
  <si>
    <t>Part</t>
  </si>
  <si>
    <t>Scenario 1 (normal case)</t>
  </si>
  <si>
    <t>Scenario 2 (best case)</t>
  </si>
  <si>
    <t>Scenario 3 (worst case)</t>
  </si>
  <si>
    <t>Sum</t>
  </si>
  <si>
    <t>**Disclaimer**: This is not a financial advice, and only for educational purpose.</t>
  </si>
  <si>
    <t>MARGIN OF SAFETY</t>
  </si>
  <si>
    <t>Business selling at</t>
  </si>
  <si>
    <t>Formula's Used</t>
  </si>
  <si>
    <r>
      <t xml:space="preserve"> </t>
    </r>
    <r>
      <rPr>
        <b/>
        <sz val="12"/>
        <color theme="1"/>
        <rFont val="Aptos Narrow"/>
        <scheme val="minor"/>
      </rPr>
      <t>PV</t>
    </r>
    <r>
      <rPr>
        <sz val="12"/>
        <color theme="1"/>
        <rFont val="Aptos Narrow"/>
        <family val="2"/>
        <scheme val="minor"/>
      </rPr>
      <t xml:space="preserve"> = FV / (1 + r)^n</t>
    </r>
  </si>
  <si>
    <t>Discounted present value of future cash</t>
  </si>
  <si>
    <t>Owner's Earning</t>
  </si>
  <si>
    <t>Divident payout ratio</t>
  </si>
  <si>
    <t>brk.b</t>
  </si>
  <si>
    <t>Stock Price</t>
  </si>
  <si>
    <t>Market cap (million)</t>
  </si>
  <si>
    <t>Business 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</si>
</sst>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2" fontId="0" fillId="2" borderId="0" xfId="0" applyNumberFormat="1" applyFill="1"/>
    <xf numFmtId="0" fontId="0" fillId="0" borderId="0" xfId="0" applyAlignment="1">
      <alignment horizontal="right"/>
    </xf>
    <xf numFmtId="0" fontId="0" fillId="0" borderId="6" xfId="0" applyBorder="1"/>
    <xf numFmtId="0" fontId="5" fillId="0" borderId="0" xfId="0" applyFont="1" applyAlignment="1">
      <alignment horizontal="center" wrapText="1"/>
    </xf>
    <xf numFmtId="0" fontId="5" fillId="0" borderId="0" xfId="0" applyFont="1"/>
    <xf numFmtId="0" fontId="0" fillId="0" borderId="3" xfId="0" applyBorder="1"/>
    <xf numFmtId="0" fontId="5" fillId="0" borderId="7" xfId="0" applyFont="1" applyBorder="1"/>
    <xf numFmtId="0" fontId="5" fillId="0" borderId="1" xfId="0" applyFont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6" xfId="0" applyNumberFormat="1" applyBorder="1"/>
    <xf numFmtId="0" fontId="0" fillId="0" borderId="9" xfId="0" applyBorder="1"/>
    <xf numFmtId="2" fontId="0" fillId="0" borderId="10" xfId="0" applyNumberFormat="1" applyBorder="1"/>
    <xf numFmtId="2" fontId="0" fillId="4" borderId="11" xfId="0" applyNumberForma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2" fontId="0" fillId="0" borderId="6" xfId="0" applyNumberFormat="1" applyBorder="1" applyAlignment="1">
      <alignment horizontal="center"/>
    </xf>
    <xf numFmtId="0" fontId="0" fillId="0" borderId="13" xfId="0" applyBorder="1"/>
    <xf numFmtId="2" fontId="0" fillId="0" borderId="1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5" fillId="4" borderId="4" xfId="0" applyNumberFormat="1" applyFont="1" applyFill="1" applyBorder="1"/>
    <xf numFmtId="2" fontId="5" fillId="4" borderId="12" xfId="0" applyNumberFormat="1" applyFont="1" applyFill="1" applyBorder="1"/>
    <xf numFmtId="0" fontId="2" fillId="0" borderId="11" xfId="2" applyBorder="1"/>
    <xf numFmtId="0" fontId="0" fillId="0" borderId="11" xfId="0" applyBorder="1"/>
    <xf numFmtId="0" fontId="0" fillId="0" borderId="14" xfId="0" applyBorder="1"/>
    <xf numFmtId="2" fontId="0" fillId="3" borderId="9" xfId="0" applyNumberFormat="1" applyFill="1" applyBorder="1"/>
    <xf numFmtId="0" fontId="6" fillId="0" borderId="3" xfId="0" applyFont="1" applyBorder="1"/>
    <xf numFmtId="164" fontId="0" fillId="3" borderId="8" xfId="0" applyNumberFormat="1" applyFill="1" applyBorder="1" applyAlignment="1">
      <alignment horizontal="center"/>
    </xf>
    <xf numFmtId="0" fontId="6" fillId="2" borderId="0" xfId="0" applyFont="1" applyFill="1"/>
    <xf numFmtId="9" fontId="0" fillId="3" borderId="0" xfId="0" applyNumberForma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5" fillId="0" borderId="0" xfId="0" applyFont="1" applyBorder="1" applyAlignment="1">
      <alignment horizontal="center"/>
    </xf>
    <xf numFmtId="3" fontId="0" fillId="3" borderId="8" xfId="0" applyNumberFormat="1" applyFill="1" applyBorder="1"/>
    <xf numFmtId="0" fontId="0" fillId="3" borderId="8" xfId="0" applyFill="1" applyBorder="1"/>
    <xf numFmtId="0" fontId="5" fillId="0" borderId="9" xfId="0" applyFont="1" applyBorder="1"/>
    <xf numFmtId="0" fontId="0" fillId="0" borderId="15" xfId="0" applyBorder="1"/>
    <xf numFmtId="0" fontId="0" fillId="0" borderId="16" xfId="0" applyFill="1" applyBorder="1"/>
    <xf numFmtId="0" fontId="0" fillId="0" borderId="18" xfId="0" applyFill="1" applyBorder="1"/>
    <xf numFmtId="0" fontId="3" fillId="0" borderId="17" xfId="0" applyFont="1" applyBorder="1"/>
    <xf numFmtId="9" fontId="0" fillId="3" borderId="19" xfId="0" applyNumberFormat="1" applyFill="1" applyBorder="1"/>
    <xf numFmtId="0" fontId="6" fillId="0" borderId="0" xfId="0" applyFont="1" applyFill="1"/>
    <xf numFmtId="2" fontId="0" fillId="0" borderId="0" xfId="0" applyNumberFormat="1" applyFill="1"/>
    <xf numFmtId="9" fontId="0" fillId="3" borderId="11" xfId="0" applyNumberForma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0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5E09-E700-514A-9944-E753E30DF7A8}">
  <dimension ref="A1:P31"/>
  <sheetViews>
    <sheetView workbookViewId="0">
      <selection sqref="A1:XFD1048576"/>
    </sheetView>
  </sheetViews>
  <sheetFormatPr baseColWidth="10" defaultRowHeight="16" x14ac:dyDescent="0.2"/>
  <cols>
    <col min="2" max="2" width="19" customWidth="1"/>
    <col min="3" max="3" width="21.5" customWidth="1"/>
    <col min="16" max="16" width="23.33203125" customWidth="1"/>
  </cols>
  <sheetData>
    <row r="1" spans="1:16" ht="17" thickBot="1" x14ac:dyDescent="0.25"/>
    <row r="2" spans="1:16" ht="17" thickBot="1" x14ac:dyDescent="0.25">
      <c r="B2" s="48" t="s">
        <v>30</v>
      </c>
      <c r="C2" s="1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x14ac:dyDescent="0.2">
      <c r="A3" s="7"/>
      <c r="B3" s="47" t="s">
        <v>32</v>
      </c>
      <c r="C3" s="42">
        <v>1060000</v>
      </c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7"/>
    </row>
    <row r="4" spans="1:16" x14ac:dyDescent="0.2">
      <c r="A4" s="7"/>
      <c r="B4" s="45" t="s">
        <v>31</v>
      </c>
      <c r="C4" s="43">
        <v>485.39</v>
      </c>
      <c r="D4" s="6"/>
      <c r="I4" s="38"/>
      <c r="P4" s="7"/>
    </row>
    <row r="5" spans="1:16" ht="17" customHeight="1" thickBot="1" x14ac:dyDescent="0.25">
      <c r="A5" s="7"/>
      <c r="B5" s="46" t="s">
        <v>29</v>
      </c>
      <c r="C5" s="49">
        <v>0</v>
      </c>
      <c r="D5" s="30"/>
      <c r="N5" s="8" t="s">
        <v>0</v>
      </c>
      <c r="O5" s="9" t="s">
        <v>1</v>
      </c>
      <c r="P5" s="7"/>
    </row>
    <row r="6" spans="1:16" x14ac:dyDescent="0.2">
      <c r="A6" s="7"/>
      <c r="B6" s="40" t="s">
        <v>2</v>
      </c>
      <c r="C6" s="44" t="s">
        <v>28</v>
      </c>
      <c r="D6" s="41">
        <v>2025</v>
      </c>
      <c r="E6" s="12">
        <f t="shared" ref="E6:M6" si="0">D6+1</f>
        <v>2026</v>
      </c>
      <c r="F6" s="12">
        <f t="shared" si="0"/>
        <v>2027</v>
      </c>
      <c r="G6" s="12">
        <f t="shared" si="0"/>
        <v>2028</v>
      </c>
      <c r="H6" s="12">
        <f t="shared" si="0"/>
        <v>2029</v>
      </c>
      <c r="I6" s="12">
        <f t="shared" si="0"/>
        <v>2030</v>
      </c>
      <c r="J6" s="12">
        <f t="shared" si="0"/>
        <v>2031</v>
      </c>
      <c r="K6" s="12">
        <f t="shared" si="0"/>
        <v>2032</v>
      </c>
      <c r="L6" s="12">
        <f t="shared" si="0"/>
        <v>2033</v>
      </c>
      <c r="M6" s="12">
        <f t="shared" si="0"/>
        <v>2034</v>
      </c>
      <c r="N6" s="12">
        <v>2034</v>
      </c>
      <c r="O6" s="13">
        <v>0.06</v>
      </c>
      <c r="P6" s="7" t="s">
        <v>3</v>
      </c>
    </row>
    <row r="7" spans="1:16" x14ac:dyDescent="0.2">
      <c r="B7" s="10" t="s">
        <v>4</v>
      </c>
      <c r="C7" s="32">
        <v>40</v>
      </c>
      <c r="D7" s="14">
        <f>C7*(1+$O$6)</f>
        <v>42.400000000000006</v>
      </c>
      <c r="E7" s="14">
        <f>D7*(1+$O$6)</f>
        <v>44.94400000000001</v>
      </c>
      <c r="F7" s="14">
        <f>E7*(1+$O$6)</f>
        <v>47.640640000000012</v>
      </c>
      <c r="G7" s="14">
        <f>F7*(1+$O$6)</f>
        <v>50.499078400000016</v>
      </c>
      <c r="H7" s="14">
        <f>G7*(1+$O$6)</f>
        <v>53.529023104000018</v>
      </c>
      <c r="I7" s="14">
        <f>H7*(1+$O$7)</f>
        <v>56.740764490240025</v>
      </c>
      <c r="J7" s="14">
        <f>I7*(1+$O$7)</f>
        <v>60.145210359654428</v>
      </c>
      <c r="K7" s="14">
        <f>J7*(1+$O$7)</f>
        <v>63.7539229812337</v>
      </c>
      <c r="L7" s="14">
        <f>K7*(1+$O$7)</f>
        <v>67.579158360107726</v>
      </c>
      <c r="M7" s="14">
        <f>L7*(1+$O$7)</f>
        <v>71.633907861714192</v>
      </c>
      <c r="N7" s="14">
        <f>L7*O9</f>
        <v>1013.6873754016159</v>
      </c>
      <c r="O7" s="13">
        <v>0.06</v>
      </c>
      <c r="P7" s="15" t="s">
        <v>5</v>
      </c>
    </row>
    <row r="8" spans="1:16" x14ac:dyDescent="0.2">
      <c r="B8" s="10"/>
      <c r="C8" s="16" t="str">
        <f>CONCATENATE("PV(",O8*100,"%)")</f>
        <v>PV(10%)</v>
      </c>
      <c r="D8" s="14">
        <f>D7*(1+$O$8)^($D$6-D6-1)*$C$5</f>
        <v>0</v>
      </c>
      <c r="E8" s="14">
        <f>E7*(1+$O$8)^($D$6-E6-1)*$C$5</f>
        <v>0</v>
      </c>
      <c r="F8" s="14">
        <f>F7*(1+$O$8)^($D$6-F6-1)*$C$5</f>
        <v>0</v>
      </c>
      <c r="G8" s="14">
        <f>G7*(1+$O$8)^($D$6-G6-1)*$C$5</f>
        <v>0</v>
      </c>
      <c r="H8" s="14">
        <f>H7*(1+$O$8)^($D$6-H6-1)*$C$5</f>
        <v>0</v>
      </c>
      <c r="I8" s="14">
        <f>I7*(1+$O$8)^($D$6-I6-1)*$C$5</f>
        <v>0</v>
      </c>
      <c r="J8" s="14">
        <f>J7*(1+$O$8)^($D$6-J6-1)*$C$5</f>
        <v>0</v>
      </c>
      <c r="K8" s="14">
        <f>K7*(1+$O$8)^($D$6-K6-1)*$C$5</f>
        <v>0</v>
      </c>
      <c r="L8" s="14">
        <f>L7*(1+$O$8)^($D$6-L6-1)*$C$5</f>
        <v>0</v>
      </c>
      <c r="M8" s="14">
        <f>M7*(1+$O$8)^($D$6-M6-1)*$C$5</f>
        <v>0</v>
      </c>
      <c r="N8" s="14">
        <f>N7*(1+$O$8)^($D$6-N6-1)</f>
        <v>390.82036516552733</v>
      </c>
      <c r="O8" s="13">
        <v>0.1</v>
      </c>
      <c r="P8" s="7" t="s">
        <v>6</v>
      </c>
    </row>
    <row r="9" spans="1:16" ht="17" thickBot="1" x14ac:dyDescent="0.25">
      <c r="B9" s="10"/>
      <c r="C9" s="17" t="s">
        <v>7</v>
      </c>
      <c r="D9" s="18">
        <f>SUM(D8:N8)</f>
        <v>390.82036516552733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34">
        <v>15</v>
      </c>
      <c r="P9" s="7" t="s">
        <v>8</v>
      </c>
    </row>
    <row r="10" spans="1:16" x14ac:dyDescent="0.2">
      <c r="B10" s="10"/>
      <c r="P10" s="7"/>
    </row>
    <row r="11" spans="1:16" ht="30" thickBot="1" x14ac:dyDescent="0.25">
      <c r="B11" s="10"/>
      <c r="N11" s="8" t="s">
        <v>0</v>
      </c>
      <c r="O11" s="9" t="s">
        <v>1</v>
      </c>
      <c r="P11" s="7"/>
    </row>
    <row r="12" spans="1:16" x14ac:dyDescent="0.2">
      <c r="B12" s="10" t="s">
        <v>9</v>
      </c>
      <c r="C12" s="11" t="str">
        <f>C6</f>
        <v>Owner's Earning</v>
      </c>
      <c r="D12" s="12">
        <f>D6</f>
        <v>2025</v>
      </c>
      <c r="E12" s="12">
        <f t="shared" ref="E12:M12" si="1">D12+1</f>
        <v>2026</v>
      </c>
      <c r="F12" s="12">
        <f t="shared" si="1"/>
        <v>2027</v>
      </c>
      <c r="G12" s="12">
        <f t="shared" si="1"/>
        <v>2028</v>
      </c>
      <c r="H12" s="12">
        <f t="shared" si="1"/>
        <v>2029</v>
      </c>
      <c r="I12" s="12">
        <f t="shared" si="1"/>
        <v>2030</v>
      </c>
      <c r="J12" s="12">
        <f t="shared" si="1"/>
        <v>2031</v>
      </c>
      <c r="K12" s="12">
        <f t="shared" si="1"/>
        <v>2032</v>
      </c>
      <c r="L12" s="12">
        <f t="shared" si="1"/>
        <v>2033</v>
      </c>
      <c r="M12" s="12">
        <f t="shared" si="1"/>
        <v>2034</v>
      </c>
      <c r="N12" s="12">
        <f>N6</f>
        <v>2034</v>
      </c>
      <c r="O12" s="13">
        <v>0.08</v>
      </c>
      <c r="P12" s="7" t="s">
        <v>3</v>
      </c>
    </row>
    <row r="13" spans="1:16" x14ac:dyDescent="0.2">
      <c r="B13" s="10" t="s">
        <v>10</v>
      </c>
      <c r="C13" s="32">
        <f>C7</f>
        <v>40</v>
      </c>
      <c r="D13" s="14">
        <f>C13*(1+$O$12)</f>
        <v>43.2</v>
      </c>
      <c r="E13" s="14">
        <f>D13*(1+$O$12)</f>
        <v>46.656000000000006</v>
      </c>
      <c r="F13" s="14">
        <f>E13*(1+$O$12)</f>
        <v>50.388480000000008</v>
      </c>
      <c r="G13" s="14">
        <f>F13*(1+$O$12)</f>
        <v>54.419558400000014</v>
      </c>
      <c r="H13" s="14">
        <f>G13*(1+$O$12)</f>
        <v>58.773123072000018</v>
      </c>
      <c r="I13" s="14">
        <f>H13*(1+$O$13)</f>
        <v>63.474972917760027</v>
      </c>
      <c r="J13" s="14">
        <f>I13*(1+$O$13)</f>
        <v>68.552970751180837</v>
      </c>
      <c r="K13" s="14">
        <f>J13*(1+$O$13)</f>
        <v>74.037208411275316</v>
      </c>
      <c r="L13" s="14">
        <f>K13*(1+$O$13)</f>
        <v>79.96018508417734</v>
      </c>
      <c r="M13" s="14">
        <f>L13*(1+$O$13)</f>
        <v>86.356999890911538</v>
      </c>
      <c r="N13" s="14">
        <f>L13*O15</f>
        <v>1999.0046271044334</v>
      </c>
      <c r="O13" s="13">
        <v>0.08</v>
      </c>
      <c r="P13" s="15" t="s">
        <v>5</v>
      </c>
    </row>
    <row r="14" spans="1:16" x14ac:dyDescent="0.2">
      <c r="B14" s="10"/>
      <c r="C14" s="16" t="str">
        <f>CONCATENATE("PV(",O14*100,"%)")</f>
        <v>PV(10%)</v>
      </c>
      <c r="D14" s="14">
        <f>D13*(1+$O$14)^($D$12-D12-1)*$C$5</f>
        <v>0</v>
      </c>
      <c r="E14" s="14">
        <f>E13*(1+$O$14)^($D$12-E12-1)*$C$5</f>
        <v>0</v>
      </c>
      <c r="F14" s="14">
        <f>F13*(1+$O$14)^($D$12-F12-1)*$C$5</f>
        <v>0</v>
      </c>
      <c r="G14" s="14">
        <f>G13*(1+$O$14)^($D$12-G12-1)*$C$5</f>
        <v>0</v>
      </c>
      <c r="H14" s="14">
        <f>H13*(1+$O$14)^($D$12-H12-1)*$C$5</f>
        <v>0</v>
      </c>
      <c r="I14" s="14">
        <f>I13*(1+$O$14)^($D$12-I12-1)*$C$5</f>
        <v>0</v>
      </c>
      <c r="J14" s="14">
        <f>J13*(1+$O$14)^($D$12-J12-1)*$C$5</f>
        <v>0</v>
      </c>
      <c r="K14" s="14">
        <f>K13*(1+$O$14)^($D$12-K12-1)*$C$5</f>
        <v>0</v>
      </c>
      <c r="L14" s="14">
        <f>L13*(1+$O$14)^($D$12-L12-1)*$C$5</f>
        <v>0</v>
      </c>
      <c r="M14" s="14">
        <f>M13*(1+$O$14)^($D$12-M12-1)*$C$5</f>
        <v>0</v>
      </c>
      <c r="N14" s="14">
        <f>N13*(1+$O$8)^($D$6-N12-1)</f>
        <v>770.7028195186972</v>
      </c>
      <c r="O14" s="13">
        <f>O8</f>
        <v>0.1</v>
      </c>
      <c r="P14" s="7" t="s">
        <v>6</v>
      </c>
    </row>
    <row r="15" spans="1:16" ht="17" thickBot="1" x14ac:dyDescent="0.25">
      <c r="B15" s="10"/>
      <c r="C15" s="17" t="s">
        <v>11</v>
      </c>
      <c r="D15" s="18">
        <f>SUM(D14:N14)</f>
        <v>770.7028195186972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34">
        <v>25</v>
      </c>
      <c r="P15" s="7" t="s">
        <v>8</v>
      </c>
    </row>
    <row r="16" spans="1:16" x14ac:dyDescent="0.2">
      <c r="B16" s="10"/>
      <c r="P16" s="7"/>
    </row>
    <row r="17" spans="2:16" ht="30" thickBot="1" x14ac:dyDescent="0.25">
      <c r="B17" s="10"/>
      <c r="N17" s="8" t="s">
        <v>0</v>
      </c>
      <c r="O17" s="9" t="s">
        <v>1</v>
      </c>
      <c r="P17" s="7"/>
    </row>
    <row r="18" spans="2:16" x14ac:dyDescent="0.2">
      <c r="B18" s="10" t="s">
        <v>12</v>
      </c>
      <c r="C18" s="11" t="str">
        <f>C12</f>
        <v>Owner's Earning</v>
      </c>
      <c r="D18" s="12">
        <f>D12</f>
        <v>2025</v>
      </c>
      <c r="E18" s="12">
        <f t="shared" ref="E18:M18" si="2">D18+1</f>
        <v>2026</v>
      </c>
      <c r="F18" s="12">
        <f t="shared" si="2"/>
        <v>2027</v>
      </c>
      <c r="G18" s="12">
        <f t="shared" si="2"/>
        <v>2028</v>
      </c>
      <c r="H18" s="12">
        <f t="shared" si="2"/>
        <v>2029</v>
      </c>
      <c r="I18" s="12">
        <f t="shared" si="2"/>
        <v>2030</v>
      </c>
      <c r="J18" s="12">
        <f t="shared" si="2"/>
        <v>2031</v>
      </c>
      <c r="K18" s="12">
        <f t="shared" si="2"/>
        <v>2032</v>
      </c>
      <c r="L18" s="12">
        <f t="shared" si="2"/>
        <v>2033</v>
      </c>
      <c r="M18" s="12">
        <f t="shared" si="2"/>
        <v>2034</v>
      </c>
      <c r="N18" s="12">
        <f>N12</f>
        <v>2034</v>
      </c>
      <c r="O18" s="13">
        <v>0.05</v>
      </c>
      <c r="P18" s="7" t="s">
        <v>3</v>
      </c>
    </row>
    <row r="19" spans="2:16" x14ac:dyDescent="0.2">
      <c r="B19" s="10" t="s">
        <v>13</v>
      </c>
      <c r="C19" s="32">
        <f>C13</f>
        <v>40</v>
      </c>
      <c r="D19" s="14">
        <f>C19*(1+$O$18)</f>
        <v>42</v>
      </c>
      <c r="E19" s="14">
        <f>D19*(1+$O$18)</f>
        <v>44.1</v>
      </c>
      <c r="F19" s="14">
        <f>E19*(1+$O$18)</f>
        <v>46.305000000000007</v>
      </c>
      <c r="G19" s="14">
        <f>F19*(1+$O$18)</f>
        <v>48.620250000000006</v>
      </c>
      <c r="H19" s="14">
        <f>G19*(1+$O$18)</f>
        <v>51.051262500000007</v>
      </c>
      <c r="I19" s="14">
        <f>H19*(1+$O$19)</f>
        <v>53.603825625000013</v>
      </c>
      <c r="J19" s="14">
        <f>I19*(1+$O$19)</f>
        <v>56.284016906250017</v>
      </c>
      <c r="K19" s="14">
        <f>J19*(1+$O$19)</f>
        <v>59.098217751562522</v>
      </c>
      <c r="L19" s="14">
        <f>K19*(1+$O$19)</f>
        <v>62.053128639140652</v>
      </c>
      <c r="M19" s="14">
        <f>L19*(1+$O$19)</f>
        <v>65.155785071097682</v>
      </c>
      <c r="N19" s="14">
        <f>L19*O21</f>
        <v>744.63754366968783</v>
      </c>
      <c r="O19" s="13">
        <v>0.05</v>
      </c>
      <c r="P19" s="15" t="s">
        <v>5</v>
      </c>
    </row>
    <row r="20" spans="2:16" x14ac:dyDescent="0.2">
      <c r="B20" s="10" t="s">
        <v>23</v>
      </c>
      <c r="C20" s="16" t="str">
        <f>CONCATENATE("PV(",O20*100,"%)")</f>
        <v>PV(10%)</v>
      </c>
      <c r="D20" s="14">
        <f>D19*(1+$O$20)^($D$18-D18-1)*$C$5</f>
        <v>0</v>
      </c>
      <c r="E20" s="14">
        <f>E19*(1+$O$20)^($D$18-E18-1)*$C$5</f>
        <v>0</v>
      </c>
      <c r="F20" s="14">
        <f>F19*(1+$O$20)^($D$18-F18-1)*$C$5</f>
        <v>0</v>
      </c>
      <c r="G20" s="14">
        <f>G19*(1+$O$20)^($D$18-G18-1)*$C$5</f>
        <v>0</v>
      </c>
      <c r="H20" s="14">
        <f>H19*(1+$O$20)^($D$18-H18-1)*$C$5</f>
        <v>0</v>
      </c>
      <c r="I20" s="14">
        <f>I19*(1+$O$20)^($D$18-I18-1)*$C$5</f>
        <v>0</v>
      </c>
      <c r="J20" s="14">
        <f>J19*(1+$O$20)^($D$18-J18-1)*$C$5</f>
        <v>0</v>
      </c>
      <c r="K20" s="14">
        <f>K19*(1+$O$20)^($D$18-K18-1)*$C$5</f>
        <v>0</v>
      </c>
      <c r="L20" s="14">
        <f>L19*(1+$O$20)^($D$18-L18-1)*$C$5</f>
        <v>0</v>
      </c>
      <c r="M20" s="14">
        <f>M19*(1+$O$20)^($D$18-M18-1)*$C$5</f>
        <v>0</v>
      </c>
      <c r="N20" s="14">
        <f t="shared" ref="N20" si="3">N19*(1+$O$20)^($D$18-N18-1)</f>
        <v>287.09000801913783</v>
      </c>
      <c r="O20" s="13">
        <f>O14</f>
        <v>0.1</v>
      </c>
      <c r="P20" s="7" t="s">
        <v>6</v>
      </c>
    </row>
    <row r="21" spans="2:16" ht="17" thickBot="1" x14ac:dyDescent="0.25">
      <c r="B21" s="10"/>
      <c r="C21" s="17" t="s">
        <v>11</v>
      </c>
      <c r="D21" s="18">
        <f>SUM(D20:N20)</f>
        <v>287.09000801913783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4">
        <v>12</v>
      </c>
      <c r="P21" s="7" t="s">
        <v>8</v>
      </c>
    </row>
    <row r="22" spans="2:16" ht="17" thickBot="1" x14ac:dyDescent="0.25">
      <c r="B22" s="10"/>
      <c r="P22" s="7"/>
    </row>
    <row r="23" spans="2:16" ht="17" thickBot="1" x14ac:dyDescent="0.25">
      <c r="B23" s="10"/>
      <c r="C23" s="20" t="s">
        <v>14</v>
      </c>
      <c r="D23" s="21" t="s">
        <v>15</v>
      </c>
      <c r="E23" s="21" t="s">
        <v>16</v>
      </c>
      <c r="F23" s="22" t="s">
        <v>17</v>
      </c>
      <c r="I23" s="37" t="s">
        <v>25</v>
      </c>
      <c r="P23" s="7"/>
    </row>
    <row r="24" spans="2:16" x14ac:dyDescent="0.2">
      <c r="B24" s="10"/>
      <c r="C24" s="10" t="s">
        <v>18</v>
      </c>
      <c r="D24" s="36">
        <v>0.33</v>
      </c>
      <c r="E24" s="14">
        <f>D9</f>
        <v>390.82036516552733</v>
      </c>
      <c r="F24" s="23">
        <f>E24*D24</f>
        <v>128.97072050462404</v>
      </c>
      <c r="I24" t="s">
        <v>26</v>
      </c>
      <c r="P24" s="7"/>
    </row>
    <row r="25" spans="2:16" x14ac:dyDescent="0.2">
      <c r="B25" s="10"/>
      <c r="C25" s="10" t="s">
        <v>19</v>
      </c>
      <c r="D25" s="36">
        <v>0.34</v>
      </c>
      <c r="E25" s="14">
        <f>D15</f>
        <v>770.7028195186972</v>
      </c>
      <c r="F25" s="23">
        <f>E25*D25</f>
        <v>262.03895863635705</v>
      </c>
      <c r="I25" s="37" t="s">
        <v>27</v>
      </c>
      <c r="P25" s="7"/>
    </row>
    <row r="26" spans="2:16" ht="17" thickBot="1" x14ac:dyDescent="0.25">
      <c r="B26" s="10"/>
      <c r="C26" s="24" t="s">
        <v>20</v>
      </c>
      <c r="D26" s="36">
        <v>0.33</v>
      </c>
      <c r="E26" s="25">
        <f>D21</f>
        <v>287.09000801913783</v>
      </c>
      <c r="F26" s="26">
        <f>E26*D26</f>
        <v>94.739702646315493</v>
      </c>
      <c r="P26" s="7"/>
    </row>
    <row r="27" spans="2:16" ht="17" thickBot="1" x14ac:dyDescent="0.25">
      <c r="B27" s="10"/>
      <c r="C27" s="35" t="s">
        <v>24</v>
      </c>
      <c r="D27" s="5">
        <f>C3</f>
        <v>1060000</v>
      </c>
      <c r="E27" s="27" t="s">
        <v>21</v>
      </c>
      <c r="F27" s="28">
        <f>SUM(F24:F26)</f>
        <v>485.74938178729661</v>
      </c>
      <c r="P27" s="7"/>
    </row>
    <row r="28" spans="2:16" x14ac:dyDescent="0.2">
      <c r="B28" s="10"/>
      <c r="P28" s="7"/>
    </row>
    <row r="29" spans="2:16" x14ac:dyDescent="0.2">
      <c r="B29" s="33" t="s">
        <v>22</v>
      </c>
      <c r="P29" s="7"/>
    </row>
    <row r="30" spans="2:16" x14ac:dyDescent="0.2">
      <c r="B30" s="10"/>
      <c r="P30" s="7"/>
    </row>
    <row r="31" spans="2:16" ht="17" thickBot="1" x14ac:dyDescent="0.25">
      <c r="B31" s="24"/>
      <c r="C31" s="29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1"/>
    </row>
  </sheetData>
  <conditionalFormatting sqref="D4">
    <cfRule type="containsText" dxfId="9" priority="1" operator="containsText" text="overvalued">
      <formula>NOT(ISERROR(SEARCH("overvalued",D4)))</formula>
    </cfRule>
    <cfRule type="containsText" dxfId="8" priority="2" operator="containsText" text="undervalued">
      <formula>NOT(ISERROR(SEARCH("undervalued",D4)))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679E-2B2A-8D42-BA3A-7EC56A7FAA94}">
  <dimension ref="A1:P31"/>
  <sheetViews>
    <sheetView tabSelected="1" workbookViewId="0">
      <selection activeCell="D26" sqref="D26"/>
    </sheetView>
  </sheetViews>
  <sheetFormatPr baseColWidth="10" defaultRowHeight="16" x14ac:dyDescent="0.2"/>
  <cols>
    <col min="2" max="2" width="19" customWidth="1"/>
    <col min="3" max="3" width="21.5" customWidth="1"/>
    <col min="16" max="16" width="23.33203125" customWidth="1"/>
  </cols>
  <sheetData>
    <row r="1" spans="1:16" ht="17" thickBot="1" x14ac:dyDescent="0.25"/>
    <row r="2" spans="1:16" ht="17" thickBot="1" x14ac:dyDescent="0.25">
      <c r="B2" s="48" t="s">
        <v>33</v>
      </c>
      <c r="C2" s="1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x14ac:dyDescent="0.2">
      <c r="A3" s="7"/>
      <c r="B3" s="47" t="s">
        <v>32</v>
      </c>
      <c r="C3" s="42">
        <v>100</v>
      </c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7"/>
    </row>
    <row r="4" spans="1:16" x14ac:dyDescent="0.2">
      <c r="A4" s="7"/>
      <c r="B4" s="45" t="s">
        <v>31</v>
      </c>
      <c r="C4" s="43">
        <v>150</v>
      </c>
      <c r="D4" s="6"/>
      <c r="I4" s="38"/>
      <c r="P4" s="7"/>
    </row>
    <row r="5" spans="1:16" ht="17" customHeight="1" thickBot="1" x14ac:dyDescent="0.25">
      <c r="A5" s="7"/>
      <c r="B5" s="46" t="s">
        <v>29</v>
      </c>
      <c r="C5" s="49">
        <v>0</v>
      </c>
      <c r="D5" s="30"/>
      <c r="N5" s="8" t="s">
        <v>0</v>
      </c>
      <c r="O5" s="9" t="s">
        <v>1</v>
      </c>
      <c r="P5" s="7"/>
    </row>
    <row r="6" spans="1:16" x14ac:dyDescent="0.2">
      <c r="A6" s="7"/>
      <c r="B6" s="40" t="s">
        <v>2</v>
      </c>
      <c r="C6" s="44" t="s">
        <v>28</v>
      </c>
      <c r="D6" s="41">
        <v>2025</v>
      </c>
      <c r="E6" s="12">
        <f t="shared" ref="E6:M6" si="0">D6+1</f>
        <v>2026</v>
      </c>
      <c r="F6" s="12">
        <f t="shared" si="0"/>
        <v>2027</v>
      </c>
      <c r="G6" s="12">
        <f t="shared" si="0"/>
        <v>2028</v>
      </c>
      <c r="H6" s="12">
        <f t="shared" si="0"/>
        <v>2029</v>
      </c>
      <c r="I6" s="12">
        <f t="shared" si="0"/>
        <v>2030</v>
      </c>
      <c r="J6" s="12">
        <f t="shared" si="0"/>
        <v>2031</v>
      </c>
      <c r="K6" s="12">
        <f t="shared" si="0"/>
        <v>2032</v>
      </c>
      <c r="L6" s="12">
        <f t="shared" si="0"/>
        <v>2033</v>
      </c>
      <c r="M6" s="12">
        <f t="shared" si="0"/>
        <v>2034</v>
      </c>
      <c r="N6" s="12">
        <v>2034</v>
      </c>
      <c r="O6" s="13">
        <v>0.06</v>
      </c>
      <c r="P6" s="7" t="s">
        <v>3</v>
      </c>
    </row>
    <row r="7" spans="1:16" x14ac:dyDescent="0.2">
      <c r="B7" s="10" t="s">
        <v>4</v>
      </c>
      <c r="C7" s="32">
        <v>10</v>
      </c>
      <c r="D7" s="14">
        <f>C7*(1+$O$6)</f>
        <v>10.600000000000001</v>
      </c>
      <c r="E7" s="14">
        <f>D7*(1+$O$6)</f>
        <v>11.236000000000002</v>
      </c>
      <c r="F7" s="14">
        <f>E7*(1+$O$6)</f>
        <v>11.910160000000003</v>
      </c>
      <c r="G7" s="14">
        <f>F7*(1+$O$6)</f>
        <v>12.624769600000004</v>
      </c>
      <c r="H7" s="14">
        <f>G7*(1+$O$6)</f>
        <v>13.382255776000004</v>
      </c>
      <c r="I7" s="14">
        <f>H7*(1+$O$7)</f>
        <v>14.185191122560006</v>
      </c>
      <c r="J7" s="14">
        <f>I7*(1+$O$7)</f>
        <v>15.036302589913607</v>
      </c>
      <c r="K7" s="14">
        <f>J7*(1+$O$7)</f>
        <v>15.938480745308425</v>
      </c>
      <c r="L7" s="14">
        <f>K7*(1+$O$7)</f>
        <v>16.894789590026932</v>
      </c>
      <c r="M7" s="14">
        <f>L7*(1+$O$7)</f>
        <v>17.908476965428548</v>
      </c>
      <c r="N7" s="14">
        <f>L7*O9</f>
        <v>253.42184385040397</v>
      </c>
      <c r="O7" s="13">
        <v>0.06</v>
      </c>
      <c r="P7" s="15" t="s">
        <v>5</v>
      </c>
    </row>
    <row r="8" spans="1:16" x14ac:dyDescent="0.2">
      <c r="B8" s="10"/>
      <c r="C8" s="16" t="str">
        <f>CONCATENATE("PV(",O8*100,"%)")</f>
        <v>PV(10%)</v>
      </c>
      <c r="D8" s="14">
        <f>D7*(1+$O$8)^($D$6-D6-1)*$C$5</f>
        <v>0</v>
      </c>
      <c r="E8" s="14">
        <f>E7*(1+$O$8)^($D$6-E6-1)*$C$5</f>
        <v>0</v>
      </c>
      <c r="F8" s="14">
        <f>F7*(1+$O$8)^($D$6-F6-1)*$C$5</f>
        <v>0</v>
      </c>
      <c r="G8" s="14">
        <f>G7*(1+$O$8)^($D$6-G6-1)*$C$5</f>
        <v>0</v>
      </c>
      <c r="H8" s="14">
        <f>H7*(1+$O$8)^($D$6-H6-1)*$C$5</f>
        <v>0</v>
      </c>
      <c r="I8" s="14">
        <f>I7*(1+$O$8)^($D$6-I6-1)*$C$5</f>
        <v>0</v>
      </c>
      <c r="J8" s="14">
        <f>J7*(1+$O$8)^($D$6-J6-1)*$C$5</f>
        <v>0</v>
      </c>
      <c r="K8" s="14">
        <f>K7*(1+$O$8)^($D$6-K6-1)*$C$5</f>
        <v>0</v>
      </c>
      <c r="L8" s="14">
        <f>L7*(1+$O$8)^($D$6-L6-1)*$C$5</f>
        <v>0</v>
      </c>
      <c r="M8" s="14">
        <f>M7*(1+$O$8)^($D$6-M6-1)*$C$5</f>
        <v>0</v>
      </c>
      <c r="N8" s="14">
        <f>N7*(1+$O$8)^($D$6-N6-1)</f>
        <v>97.705091291381834</v>
      </c>
      <c r="O8" s="13">
        <v>0.1</v>
      </c>
      <c r="P8" s="7" t="s">
        <v>6</v>
      </c>
    </row>
    <row r="9" spans="1:16" ht="17" thickBot="1" x14ac:dyDescent="0.25">
      <c r="B9" s="10"/>
      <c r="C9" s="17" t="s">
        <v>7</v>
      </c>
      <c r="D9" s="18">
        <f>SUM(D8:N8)</f>
        <v>97.705091291381834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34">
        <v>15</v>
      </c>
      <c r="P9" s="7" t="s">
        <v>8</v>
      </c>
    </row>
    <row r="10" spans="1:16" x14ac:dyDescent="0.2">
      <c r="B10" s="10"/>
      <c r="P10" s="7"/>
    </row>
    <row r="11" spans="1:16" ht="30" thickBot="1" x14ac:dyDescent="0.25">
      <c r="B11" s="10"/>
      <c r="N11" s="8" t="s">
        <v>0</v>
      </c>
      <c r="O11" s="9" t="s">
        <v>1</v>
      </c>
      <c r="P11" s="7"/>
    </row>
    <row r="12" spans="1:16" x14ac:dyDescent="0.2">
      <c r="B12" s="10" t="s">
        <v>9</v>
      </c>
      <c r="C12" s="11" t="str">
        <f>C6</f>
        <v>Owner's Earning</v>
      </c>
      <c r="D12" s="12">
        <f>D6</f>
        <v>2025</v>
      </c>
      <c r="E12" s="12">
        <f t="shared" ref="E12:M12" si="1">D12+1</f>
        <v>2026</v>
      </c>
      <c r="F12" s="12">
        <f t="shared" si="1"/>
        <v>2027</v>
      </c>
      <c r="G12" s="12">
        <f t="shared" si="1"/>
        <v>2028</v>
      </c>
      <c r="H12" s="12">
        <f t="shared" si="1"/>
        <v>2029</v>
      </c>
      <c r="I12" s="12">
        <f t="shared" si="1"/>
        <v>2030</v>
      </c>
      <c r="J12" s="12">
        <f t="shared" si="1"/>
        <v>2031</v>
      </c>
      <c r="K12" s="12">
        <f t="shared" si="1"/>
        <v>2032</v>
      </c>
      <c r="L12" s="12">
        <f t="shared" si="1"/>
        <v>2033</v>
      </c>
      <c r="M12" s="12">
        <f t="shared" si="1"/>
        <v>2034</v>
      </c>
      <c r="N12" s="12">
        <f>N6</f>
        <v>2034</v>
      </c>
      <c r="O12" s="13">
        <v>0.08</v>
      </c>
      <c r="P12" s="7" t="s">
        <v>3</v>
      </c>
    </row>
    <row r="13" spans="1:16" x14ac:dyDescent="0.2">
      <c r="B13" s="10" t="s">
        <v>10</v>
      </c>
      <c r="C13" s="32">
        <f>C7</f>
        <v>10</v>
      </c>
      <c r="D13" s="14">
        <f>C13*(1+$O$12)</f>
        <v>10.8</v>
      </c>
      <c r="E13" s="14">
        <f>D13*(1+$O$12)</f>
        <v>11.664000000000001</v>
      </c>
      <c r="F13" s="14">
        <f>E13*(1+$O$12)</f>
        <v>12.597120000000002</v>
      </c>
      <c r="G13" s="14">
        <f>F13*(1+$O$12)</f>
        <v>13.604889600000003</v>
      </c>
      <c r="H13" s="14">
        <f>G13*(1+$O$12)</f>
        <v>14.693280768000005</v>
      </c>
      <c r="I13" s="14">
        <f>H13*(1+$O$13)</f>
        <v>15.868743229440007</v>
      </c>
      <c r="J13" s="14">
        <f>I13*(1+$O$13)</f>
        <v>17.138242687795209</v>
      </c>
      <c r="K13" s="14">
        <f>J13*(1+$O$13)</f>
        <v>18.509302102818829</v>
      </c>
      <c r="L13" s="14">
        <f>K13*(1+$O$13)</f>
        <v>19.990046271044335</v>
      </c>
      <c r="M13" s="14">
        <f>L13*(1+$O$13)</f>
        <v>21.589249972727885</v>
      </c>
      <c r="N13" s="14">
        <f>L13*O15</f>
        <v>499.75115677610836</v>
      </c>
      <c r="O13" s="13">
        <v>0.08</v>
      </c>
      <c r="P13" s="15" t="s">
        <v>5</v>
      </c>
    </row>
    <row r="14" spans="1:16" x14ac:dyDescent="0.2">
      <c r="B14" s="10"/>
      <c r="C14" s="16" t="str">
        <f>CONCATENATE("PV(",O14*100,"%)")</f>
        <v>PV(10%)</v>
      </c>
      <c r="D14" s="14">
        <f>D13*(1+$O$14)^($D$12-D12-1)*$C$5</f>
        <v>0</v>
      </c>
      <c r="E14" s="14">
        <f>E13*(1+$O$14)^($D$12-E12-1)*$C$5</f>
        <v>0</v>
      </c>
      <c r="F14" s="14">
        <f>F13*(1+$O$14)^($D$12-F12-1)*$C$5</f>
        <v>0</v>
      </c>
      <c r="G14" s="14">
        <f>G13*(1+$O$14)^($D$12-G12-1)*$C$5</f>
        <v>0</v>
      </c>
      <c r="H14" s="14">
        <f>H13*(1+$O$14)^($D$12-H12-1)*$C$5</f>
        <v>0</v>
      </c>
      <c r="I14" s="14">
        <f>I13*(1+$O$14)^($D$12-I12-1)*$C$5</f>
        <v>0</v>
      </c>
      <c r="J14" s="14">
        <f>J13*(1+$O$14)^($D$12-J12-1)*$C$5</f>
        <v>0</v>
      </c>
      <c r="K14" s="14">
        <f>K13*(1+$O$14)^($D$12-K12-1)*$C$5</f>
        <v>0</v>
      </c>
      <c r="L14" s="14">
        <f>L13*(1+$O$14)^($D$12-L12-1)*$C$5</f>
        <v>0</v>
      </c>
      <c r="M14" s="14">
        <f>M13*(1+$O$14)^($D$12-M12-1)*$C$5</f>
        <v>0</v>
      </c>
      <c r="N14" s="14">
        <f>N13*(1+$O$8)^($D$6-N12-1)</f>
        <v>192.6757048796743</v>
      </c>
      <c r="O14" s="13">
        <f>O8</f>
        <v>0.1</v>
      </c>
      <c r="P14" s="7" t="s">
        <v>6</v>
      </c>
    </row>
    <row r="15" spans="1:16" ht="17" thickBot="1" x14ac:dyDescent="0.25">
      <c r="B15" s="10"/>
      <c r="C15" s="17" t="s">
        <v>11</v>
      </c>
      <c r="D15" s="18">
        <f>SUM(D14:N14)</f>
        <v>192.6757048796743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34">
        <v>25</v>
      </c>
      <c r="P15" s="7" t="s">
        <v>8</v>
      </c>
    </row>
    <row r="16" spans="1:16" x14ac:dyDescent="0.2">
      <c r="B16" s="10"/>
      <c r="P16" s="7"/>
    </row>
    <row r="17" spans="2:16" ht="30" thickBot="1" x14ac:dyDescent="0.25">
      <c r="B17" s="10"/>
      <c r="N17" s="8" t="s">
        <v>0</v>
      </c>
      <c r="O17" s="9" t="s">
        <v>1</v>
      </c>
      <c r="P17" s="7"/>
    </row>
    <row r="18" spans="2:16" x14ac:dyDescent="0.2">
      <c r="B18" s="10" t="s">
        <v>12</v>
      </c>
      <c r="C18" s="11" t="str">
        <f>C12</f>
        <v>Owner's Earning</v>
      </c>
      <c r="D18" s="12">
        <f>D12</f>
        <v>2025</v>
      </c>
      <c r="E18" s="12">
        <f t="shared" ref="E18:M18" si="2">D18+1</f>
        <v>2026</v>
      </c>
      <c r="F18" s="12">
        <f t="shared" si="2"/>
        <v>2027</v>
      </c>
      <c r="G18" s="12">
        <f t="shared" si="2"/>
        <v>2028</v>
      </c>
      <c r="H18" s="12">
        <f t="shared" si="2"/>
        <v>2029</v>
      </c>
      <c r="I18" s="12">
        <f t="shared" si="2"/>
        <v>2030</v>
      </c>
      <c r="J18" s="12">
        <f t="shared" si="2"/>
        <v>2031</v>
      </c>
      <c r="K18" s="12">
        <f t="shared" si="2"/>
        <v>2032</v>
      </c>
      <c r="L18" s="12">
        <f t="shared" si="2"/>
        <v>2033</v>
      </c>
      <c r="M18" s="12">
        <f t="shared" si="2"/>
        <v>2034</v>
      </c>
      <c r="N18" s="12">
        <f>N12</f>
        <v>2034</v>
      </c>
      <c r="O18" s="13">
        <v>0.05</v>
      </c>
      <c r="P18" s="7" t="s">
        <v>3</v>
      </c>
    </row>
    <row r="19" spans="2:16" x14ac:dyDescent="0.2">
      <c r="B19" s="10" t="s">
        <v>13</v>
      </c>
      <c r="C19" s="32">
        <f>C13</f>
        <v>10</v>
      </c>
      <c r="D19" s="14">
        <f>C19*(1+$O$18)</f>
        <v>10.5</v>
      </c>
      <c r="E19" s="14">
        <f>D19*(1+$O$18)</f>
        <v>11.025</v>
      </c>
      <c r="F19" s="14">
        <f>E19*(1+$O$18)</f>
        <v>11.576250000000002</v>
      </c>
      <c r="G19" s="14">
        <f>F19*(1+$O$18)</f>
        <v>12.155062500000001</v>
      </c>
      <c r="H19" s="14">
        <f>G19*(1+$O$18)</f>
        <v>12.762815625000002</v>
      </c>
      <c r="I19" s="14">
        <f>H19*(1+$O$19)</f>
        <v>13.400956406250003</v>
      </c>
      <c r="J19" s="14">
        <f>I19*(1+$O$19)</f>
        <v>14.071004226562504</v>
      </c>
      <c r="K19" s="14">
        <f>J19*(1+$O$19)</f>
        <v>14.774554437890631</v>
      </c>
      <c r="L19" s="14">
        <f>K19*(1+$O$19)</f>
        <v>15.513282159785163</v>
      </c>
      <c r="M19" s="14">
        <f>L19*(1+$O$19)</f>
        <v>16.288946267774421</v>
      </c>
      <c r="N19" s="14">
        <f>L19*O21</f>
        <v>186.15938591742196</v>
      </c>
      <c r="O19" s="13">
        <v>0.05</v>
      </c>
      <c r="P19" s="15" t="s">
        <v>5</v>
      </c>
    </row>
    <row r="20" spans="2:16" x14ac:dyDescent="0.2">
      <c r="B20" s="10" t="s">
        <v>23</v>
      </c>
      <c r="C20" s="16" t="str">
        <f>CONCATENATE("PV(",O20*100,"%)")</f>
        <v>PV(10%)</v>
      </c>
      <c r="D20" s="14">
        <f>D19*(1+$O$20)^($D$18-D18-1)*$C$5</f>
        <v>0</v>
      </c>
      <c r="E20" s="14">
        <f>E19*(1+$O$20)^($D$18-E18-1)*$C$5</f>
        <v>0</v>
      </c>
      <c r="F20" s="14">
        <f>F19*(1+$O$20)^($D$18-F18-1)*$C$5</f>
        <v>0</v>
      </c>
      <c r="G20" s="14">
        <f>G19*(1+$O$20)^($D$18-G18-1)*$C$5</f>
        <v>0</v>
      </c>
      <c r="H20" s="14">
        <f>H19*(1+$O$20)^($D$18-H18-1)*$C$5</f>
        <v>0</v>
      </c>
      <c r="I20" s="14">
        <f>I19*(1+$O$20)^($D$18-I18-1)*$C$5</f>
        <v>0</v>
      </c>
      <c r="J20" s="14">
        <f>J19*(1+$O$20)^($D$18-J18-1)*$C$5</f>
        <v>0</v>
      </c>
      <c r="K20" s="14">
        <f>K19*(1+$O$20)^($D$18-K18-1)*$C$5</f>
        <v>0</v>
      </c>
      <c r="L20" s="14">
        <f>L19*(1+$O$20)^($D$18-L18-1)*$C$5</f>
        <v>0</v>
      </c>
      <c r="M20" s="14">
        <f>M19*(1+$O$20)^($D$18-M18-1)*$C$5</f>
        <v>0</v>
      </c>
      <c r="N20" s="14">
        <f t="shared" ref="N20" si="3">N19*(1+$O$20)^($D$18-N18-1)</f>
        <v>71.772502004784457</v>
      </c>
      <c r="O20" s="13">
        <f>O14</f>
        <v>0.1</v>
      </c>
      <c r="P20" s="7" t="s">
        <v>6</v>
      </c>
    </row>
    <row r="21" spans="2:16" ht="17" thickBot="1" x14ac:dyDescent="0.25">
      <c r="B21" s="10"/>
      <c r="C21" s="17" t="s">
        <v>11</v>
      </c>
      <c r="D21" s="18">
        <f>SUM(D20:N20)</f>
        <v>71.772502004784457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4">
        <v>12</v>
      </c>
      <c r="P21" s="7" t="s">
        <v>8</v>
      </c>
    </row>
    <row r="22" spans="2:16" ht="17" thickBot="1" x14ac:dyDescent="0.25">
      <c r="B22" s="10"/>
      <c r="P22" s="7"/>
    </row>
    <row r="23" spans="2:16" ht="17" thickBot="1" x14ac:dyDescent="0.25">
      <c r="B23" s="10"/>
      <c r="C23" s="20" t="s">
        <v>14</v>
      </c>
      <c r="D23" s="21" t="s">
        <v>15</v>
      </c>
      <c r="E23" s="21" t="s">
        <v>16</v>
      </c>
      <c r="F23" s="22" t="s">
        <v>17</v>
      </c>
      <c r="I23" s="37" t="s">
        <v>25</v>
      </c>
      <c r="P23" s="7"/>
    </row>
    <row r="24" spans="2:16" x14ac:dyDescent="0.2">
      <c r="B24" s="10"/>
      <c r="C24" s="10" t="s">
        <v>18</v>
      </c>
      <c r="D24" s="36">
        <v>0.33</v>
      </c>
      <c r="E24" s="14">
        <f>D9</f>
        <v>97.705091291381834</v>
      </c>
      <c r="F24" s="23">
        <f>E24*D24</f>
        <v>32.24268012615601</v>
      </c>
      <c r="I24" t="s">
        <v>26</v>
      </c>
      <c r="P24" s="7"/>
    </row>
    <row r="25" spans="2:16" x14ac:dyDescent="0.2">
      <c r="B25" s="10"/>
      <c r="C25" s="10" t="s">
        <v>19</v>
      </c>
      <c r="D25" s="36">
        <v>0.34</v>
      </c>
      <c r="E25" s="14">
        <f>D15</f>
        <v>192.6757048796743</v>
      </c>
      <c r="F25" s="23">
        <f>E25*D25</f>
        <v>65.509739659089263</v>
      </c>
      <c r="I25" s="37" t="s">
        <v>27</v>
      </c>
      <c r="P25" s="7"/>
    </row>
    <row r="26" spans="2:16" ht="17" thickBot="1" x14ac:dyDescent="0.25">
      <c r="B26" s="10"/>
      <c r="C26" s="24" t="s">
        <v>20</v>
      </c>
      <c r="D26" s="52">
        <v>0.33</v>
      </c>
      <c r="E26" s="25">
        <f>D21</f>
        <v>71.772502004784457</v>
      </c>
      <c r="F26" s="26">
        <f>E26*D26</f>
        <v>23.684925661578873</v>
      </c>
      <c r="P26" s="7"/>
    </row>
    <row r="27" spans="2:16" ht="17" thickBot="1" x14ac:dyDescent="0.25">
      <c r="B27" s="10"/>
      <c r="C27" s="50" t="s">
        <v>24</v>
      </c>
      <c r="D27" s="51">
        <f>C3</f>
        <v>100</v>
      </c>
      <c r="E27" s="27" t="s">
        <v>21</v>
      </c>
      <c r="F27" s="28">
        <f>SUM(F24:F26)</f>
        <v>121.43734544682415</v>
      </c>
      <c r="P27" s="7"/>
    </row>
    <row r="28" spans="2:16" x14ac:dyDescent="0.2">
      <c r="B28" s="10"/>
      <c r="P28" s="7"/>
    </row>
    <row r="29" spans="2:16" x14ac:dyDescent="0.2">
      <c r="B29" s="33" t="s">
        <v>22</v>
      </c>
      <c r="P29" s="7"/>
    </row>
    <row r="30" spans="2:16" x14ac:dyDescent="0.2">
      <c r="B30" s="10"/>
      <c r="P30" s="7"/>
    </row>
    <row r="31" spans="2:16" ht="17" thickBot="1" x14ac:dyDescent="0.25">
      <c r="B31" s="24"/>
      <c r="C31" s="29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1"/>
    </row>
  </sheetData>
  <conditionalFormatting sqref="D4">
    <cfRule type="containsText" dxfId="1" priority="1" operator="containsText" text="overvalued">
      <formula>NOT(ISERROR(SEARCH("overvalued",D4)))</formula>
    </cfRule>
    <cfRule type="containsText" dxfId="0" priority="2" operator="containsText" text="undervalued">
      <formula>NOT(ISERROR(SEARCH("undervalued",D4)))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DCF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Rishabh</dc:creator>
  <cp:lastModifiedBy>Bhatia, Rishabh</cp:lastModifiedBy>
  <dcterms:created xsi:type="dcterms:W3CDTF">2026-01-20T22:11:05Z</dcterms:created>
  <dcterms:modified xsi:type="dcterms:W3CDTF">2026-01-20T22:52:26Z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2026-01-20T22:20:25Z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1a294268-1135-4a0b-89de-a3d50523c556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